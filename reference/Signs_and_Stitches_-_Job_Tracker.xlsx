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 Jobs" sheetId="1" r:id="rId5"/>
    <sheet state="visible" name="Job Log" sheetId="2" r:id="rId6"/>
    <sheet state="visible" name="Closed Jobs" sheetId="3" r:id="rId7"/>
    <sheet state="visible" name="Lists" sheetId="4" r:id="rId8"/>
  </sheets>
  <definedNames>
    <definedName hidden="1" localSheetId="1" name="_xlnm._FilterDatabase">'Job Log'!$A$1:$R$500</definedName>
  </definedNames>
  <calcPr/>
</workbook>
</file>

<file path=xl/sharedStrings.xml><?xml version="1.0" encoding="utf-8"?>
<sst xmlns="http://schemas.openxmlformats.org/spreadsheetml/2006/main" count="140" uniqueCount="70">
  <si>
    <t>Dropdown options. Add to the bottom of a column and the dropdown picks it up.</t>
  </si>
  <si>
    <t>OPEN JOBS  -  soonest due first</t>
  </si>
  <si>
    <t>CLOSED JOBS  -  complete and dead</t>
  </si>
  <si>
    <t>Project Type</t>
  </si>
  <si>
    <t>View only. Add and edit jobs on the Job Log tab; rows here update automatically.</t>
  </si>
  <si>
    <t>Job #</t>
  </si>
  <si>
    <t>Status</t>
  </si>
  <si>
    <t>Estimate</t>
  </si>
  <si>
    <t>Material</t>
  </si>
  <si>
    <t>Artwork</t>
  </si>
  <si>
    <t>Production</t>
  </si>
  <si>
    <t>Delivery</t>
  </si>
  <si>
    <t>Payment</t>
  </si>
  <si>
    <t>Embroidery - Hats</t>
  </si>
  <si>
    <t>Date In</t>
  </si>
  <si>
    <t>Due Date</t>
  </si>
  <si>
    <t>Active</t>
  </si>
  <si>
    <t>Customer</t>
  </si>
  <si>
    <t>Sent</t>
  </si>
  <si>
    <t>Contact Name</t>
  </si>
  <si>
    <t>Waiting</t>
  </si>
  <si>
    <t>Phone</t>
  </si>
  <si>
    <t>Email</t>
  </si>
  <si>
    <t>Sent to Customer</t>
  </si>
  <si>
    <t>In Queue</t>
  </si>
  <si>
    <t>Description</t>
  </si>
  <si>
    <t>Pick-Up</t>
  </si>
  <si>
    <t>Qty</t>
  </si>
  <si>
    <t>Billed</t>
  </si>
  <si>
    <t>Embroidery - Apparel</t>
  </si>
  <si>
    <t>Complete</t>
  </si>
  <si>
    <t>Approved</t>
  </si>
  <si>
    <t>Ordered</t>
  </si>
  <si>
    <t>Working</t>
  </si>
  <si>
    <t>Ship</t>
  </si>
  <si>
    <t>Paid in Full</t>
  </si>
  <si>
    <t>Embroidery - Other</t>
  </si>
  <si>
    <t>Notes</t>
  </si>
  <si>
    <t>Dead</t>
  </si>
  <si>
    <t>Received</t>
  </si>
  <si>
    <t>Digitized</t>
  </si>
  <si>
    <t>Finished</t>
  </si>
  <si>
    <t>Courier</t>
  </si>
  <si>
    <t>Vinyl - Apparel</t>
  </si>
  <si>
    <t>Vinyl - Signage</t>
  </si>
  <si>
    <t>Vinyl - Other</t>
  </si>
  <si>
    <t>Promo</t>
  </si>
  <si>
    <t>T-Shirts - Screen Print</t>
  </si>
  <si>
    <t>Heat Press - Hat</t>
  </si>
  <si>
    <t>Heat Press - Other</t>
  </si>
  <si>
    <t>Leather Work</t>
  </si>
  <si>
    <t>Other</t>
  </si>
  <si>
    <t>SAMPLE - Sand Springs Youth Football</t>
  </si>
  <si>
    <t>Jane Doe</t>
  </si>
  <si>
    <t>918-555-0100</t>
  </si>
  <si>
    <t>jane@example.com</t>
  </si>
  <si>
    <t>Team tees, 2-color front</t>
  </si>
  <si>
    <t>Example row - delete when you start</t>
  </si>
  <si>
    <t>SAMPLE - Main St Coffee</t>
  </si>
  <si>
    <t>John Roe</t>
  </si>
  <si>
    <t>918-555-0101</t>
  </si>
  <si>
    <t>john@example.com</t>
  </si>
  <si>
    <t>Richardson 112, left-front logo</t>
  </si>
  <si>
    <t>Overdue example - due date is past</t>
  </si>
  <si>
    <t>SAMPLE - Garfield Ave Dental</t>
  </si>
  <si>
    <t>Amy Poe</t>
  </si>
  <si>
    <t>918-555-0102</t>
  </si>
  <si>
    <t>amy@example.com</t>
  </si>
  <si>
    <t>Window hours decal</t>
  </si>
  <si>
    <t>Complete example - shows on Closed 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</si>
</sst>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6">
    <font>
      <sz val="11.0"/>
      <color theme="1"/>
      <name val="Calibri"/>
      <scheme val="minor"/>
    </font>
    <font>
      <i/>
      <sz val="9.0"/>
      <color rgb="FF666666"/>
      <name val="Montserrat"/>
    </font>
    <font>
      <b/>
      <sz val="13.0"/>
      <color rgb="FFD0242A"/>
      <name val="Montserrat"/>
    </font>
    <font>
      <b/>
      <sz val="10.0"/>
      <color rgb="FFFFFFFF"/>
      <name val="Montserrat"/>
    </font>
    <font>
      <sz val="10.0"/>
      <color theme="1"/>
      <name val="Montserrat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11111"/>
        <bgColor rgb="FF111111"/>
      </patternFill>
    </fill>
  </fills>
  <borders count="3">
    <border/>
    <border>
      <left/>
      <right/>
      <top/>
      <bottom/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1" fillId="2" fontId="3" numFmtId="0" xfId="0" applyAlignment="1" applyBorder="1" applyFill="1" applyFont="1">
      <alignment horizontal="left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4" numFmtId="164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left" vertical="center"/>
    </xf>
    <xf borderId="0" fillId="0" fontId="5" numFmtId="0" xfId="0" applyFont="1"/>
  </cellXfs>
  <cellStyles count="1">
    <cellStyle xfId="0" name="Normal" builtinId="0"/>
  </cellStyles>
  <dxfs count="7">
    <dxf>
      <font>
        <b/>
        <color rgb="FFFFFFFF"/>
      </font>
      <fill>
        <patternFill patternType="solid">
          <fgColor rgb="FFD0242A"/>
          <bgColor rgb="FFD0242A"/>
        </patternFill>
      </fill>
      <border/>
    </dxf>
    <dxf>
      <font>
        <b/>
        <color rgb="FF7A4A00"/>
      </font>
      <fill>
        <patternFill patternType="solid">
          <fgColor rgb="FFFCE8B2"/>
          <bgColor rgb="FFFCE8B2"/>
        </patternFill>
      </fill>
      <border/>
    </dxf>
    <dxf>
      <font>
        <color rgb="FF1E5631"/>
      </font>
      <fill>
        <patternFill patternType="solid">
          <fgColor rgb="FFD9EAD3"/>
          <bgColor rgb="FFD9EAD3"/>
        </patternFill>
      </fill>
      <border/>
    </dxf>
    <dxf>
      <font>
        <color rgb="FF7A4A00"/>
      </font>
      <fill>
        <patternFill patternType="solid">
          <fgColor rgb="FFFCE8B2"/>
          <bgColor rgb="FFFCE8B2"/>
        </patternFill>
      </fill>
      <border/>
    </dxf>
    <dxf>
      <font>
        <color rgb="FF8B1A1A"/>
      </font>
      <fill>
        <patternFill patternType="solid">
          <fgColor rgb="FFF4CCCC"/>
          <bgColor rgb="FFF4CCCC"/>
        </patternFill>
      </fill>
      <border/>
    </dxf>
    <dxf>
      <font>
        <color rgb="FF1F3E66"/>
      </font>
      <fill>
        <patternFill patternType="solid">
          <fgColor rgb="FFDCE6F1"/>
          <bgColor rgb="FFDCE6F1"/>
        </patternFill>
      </fill>
      <border/>
    </dxf>
    <dxf>
      <font>
        <color rgb="FF8A8A8A"/>
      </font>
      <fill>
        <patternFill patternType="solid">
          <fgColor rgb="FFEDEDED"/>
          <bgColor rgb="FFEDEDE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9.0"/>
    <col customWidth="1" min="2" max="3" width="11.0"/>
    <col customWidth="1" min="4" max="4" width="24.0"/>
    <col customWidth="1" min="5" max="5" width="18.0"/>
    <col customWidth="1" min="6" max="6" width="14.0"/>
    <col customWidth="1" min="7" max="7" width="24.0"/>
    <col customWidth="1" min="8" max="8" width="22.0"/>
    <col customWidth="1" min="9" max="9" width="30.0"/>
    <col customWidth="1" min="10" max="10" width="7.0"/>
    <col customWidth="1" min="11" max="13" width="11.0"/>
    <col customWidth="1" min="14" max="14" width="17.0"/>
    <col customWidth="1" min="15" max="15" width="12.0"/>
    <col customWidth="1" min="16" max="16" width="11.0"/>
    <col customWidth="1" min="17" max="17" width="13.0"/>
    <col customWidth="1" min="18" max="18" width="34.0"/>
    <col customWidth="1" min="19" max="26" width="8.71"/>
  </cols>
  <sheetData>
    <row r="1">
      <c r="A1" s="2" t="s">
        <v>1</v>
      </c>
    </row>
    <row r="2">
      <c r="A2" s="1" t="s">
        <v>4</v>
      </c>
    </row>
    <row r="3" ht="30.0" customHeight="1">
      <c r="A3" s="4" t="s">
        <v>5</v>
      </c>
      <c r="B3" s="4" t="s">
        <v>14</v>
      </c>
      <c r="C3" s="4" t="s">
        <v>15</v>
      </c>
      <c r="D3" s="4" t="s">
        <v>17</v>
      </c>
      <c r="E3" s="4" t="s">
        <v>19</v>
      </c>
      <c r="F3" s="4" t="s">
        <v>21</v>
      </c>
      <c r="G3" s="4" t="s">
        <v>22</v>
      </c>
      <c r="H3" s="4" t="s">
        <v>3</v>
      </c>
      <c r="I3" s="4" t="s">
        <v>25</v>
      </c>
      <c r="J3" s="4" t="s">
        <v>27</v>
      </c>
      <c r="K3" s="4" t="s">
        <v>6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11</v>
      </c>
      <c r="Q3" s="4" t="s">
        <v>12</v>
      </c>
      <c r="R3" s="4" t="s">
        <v>37</v>
      </c>
    </row>
    <row r="4" ht="19.5" customHeight="1">
      <c r="A4" s="7">
        <f>IFERROR(__xludf.DUMMYFUNCTION("IFERROR(SORT(FILTER('Job Log'!A2:R500,'Job Log'!K2:K500=""Active""),3,TRUE),""No jobs here yet"")"),1002.0)</f>
        <v>1002</v>
      </c>
      <c r="B4" s="8">
        <f>IFERROR(__xludf.DUMMYFUNCTION("""COMPUTED_VALUE"""),46279.0)</f>
        <v>46279</v>
      </c>
      <c r="C4" s="8">
        <f>IFERROR(__xludf.DUMMYFUNCTION("""COMPUTED_VALUE"""),46288.0)</f>
        <v>46288</v>
      </c>
      <c r="D4" s="9" t="str">
        <f>IFERROR(__xludf.DUMMYFUNCTION("""COMPUTED_VALUE"""),"SAMPLE - Main St Coffee")</f>
        <v>SAMPLE - Main St Coffee</v>
      </c>
      <c r="E4" s="9" t="str">
        <f>IFERROR(__xludf.DUMMYFUNCTION("""COMPUTED_VALUE"""),"John Roe")</f>
        <v>John Roe</v>
      </c>
      <c r="F4" s="7" t="str">
        <f>IFERROR(__xludf.DUMMYFUNCTION("""COMPUTED_VALUE"""),"918-555-0101")</f>
        <v>918-555-0101</v>
      </c>
      <c r="G4" s="9" t="str">
        <f>IFERROR(__xludf.DUMMYFUNCTION("""COMPUTED_VALUE"""),"john@example.com")</f>
        <v>john@example.com</v>
      </c>
      <c r="H4" s="7" t="str">
        <f>IFERROR(__xludf.DUMMYFUNCTION("""COMPUTED_VALUE"""),"Embroidery - Hats")</f>
        <v>Embroidery - Hats</v>
      </c>
      <c r="I4" s="9" t="str">
        <f>IFERROR(__xludf.DUMMYFUNCTION("""COMPUTED_VALUE"""),"Richardson 112, left-front logo")</f>
        <v>Richardson 112, left-front logo</v>
      </c>
      <c r="J4" s="7">
        <f>IFERROR(__xludf.DUMMYFUNCTION("""COMPUTED_VALUE"""),24.0)</f>
        <v>24</v>
      </c>
      <c r="K4" s="7" t="str">
        <f>IFERROR(__xludf.DUMMYFUNCTION("""COMPUTED_VALUE"""),"Active")</f>
        <v>Active</v>
      </c>
      <c r="L4" s="7" t="str">
        <f>IFERROR(__xludf.DUMMYFUNCTION("""COMPUTED_VALUE"""),"Approved")</f>
        <v>Approved</v>
      </c>
      <c r="M4" s="7" t="str">
        <f>IFERROR(__xludf.DUMMYFUNCTION("""COMPUTED_VALUE"""),"Received")</f>
        <v>Received</v>
      </c>
      <c r="N4" s="7" t="str">
        <f>IFERROR(__xludf.DUMMYFUNCTION("""COMPUTED_VALUE"""),"Digitized")</f>
        <v>Digitized</v>
      </c>
      <c r="O4" s="7" t="str">
        <f>IFERROR(__xludf.DUMMYFUNCTION("""COMPUTED_VALUE"""),"Working")</f>
        <v>Working</v>
      </c>
      <c r="P4" s="7" t="str">
        <f>IFERROR(__xludf.DUMMYFUNCTION("""COMPUTED_VALUE"""),"Pick-Up")</f>
        <v>Pick-Up</v>
      </c>
      <c r="Q4" s="7" t="str">
        <f>IFERROR(__xludf.DUMMYFUNCTION("""COMPUTED_VALUE"""),"Billed")</f>
        <v>Billed</v>
      </c>
      <c r="R4" s="9" t="str">
        <f>IFERROR(__xludf.DUMMYFUNCTION("""COMPUTED_VALUE"""),"Overdue example - due date is past")</f>
        <v>Overdue example - due date is past</v>
      </c>
    </row>
    <row r="5" ht="19.5" customHeight="1">
      <c r="A5" s="7">
        <f>IFERROR(__xludf.DUMMYFUNCTION("""COMPUTED_VALUE"""),1001.0)</f>
        <v>1001</v>
      </c>
      <c r="B5" s="8">
        <f>IFERROR(__xludf.DUMMYFUNCTION("""COMPUTED_VALUE"""),46283.0)</f>
        <v>46283</v>
      </c>
      <c r="C5" s="8">
        <f>IFERROR(__xludf.DUMMYFUNCTION("""COMPUTED_VALUE"""),46293.0)</f>
        <v>46293</v>
      </c>
      <c r="D5" s="9" t="str">
        <f>IFERROR(__xludf.DUMMYFUNCTION("""COMPUTED_VALUE"""),"SAMPLE - Sand Springs Youth Football")</f>
        <v>SAMPLE - Sand Springs Youth Football</v>
      </c>
      <c r="E5" s="9" t="str">
        <f>IFERROR(__xludf.DUMMYFUNCTION("""COMPUTED_VALUE"""),"Jane Doe")</f>
        <v>Jane Doe</v>
      </c>
      <c r="F5" s="7" t="str">
        <f>IFERROR(__xludf.DUMMYFUNCTION("""COMPUTED_VALUE"""),"918-555-0100")</f>
        <v>918-555-0100</v>
      </c>
      <c r="G5" s="9" t="str">
        <f>IFERROR(__xludf.DUMMYFUNCTION("""COMPUTED_VALUE"""),"jane@example.com")</f>
        <v>jane@example.com</v>
      </c>
      <c r="H5" s="7" t="str">
        <f>IFERROR(__xludf.DUMMYFUNCTION("""COMPUTED_VALUE"""),"T-Shirts - Screen Print")</f>
        <v>T-Shirts - Screen Print</v>
      </c>
      <c r="I5" s="9" t="str">
        <f>IFERROR(__xludf.DUMMYFUNCTION("""COMPUTED_VALUE"""),"Team tees, 2-color front")</f>
        <v>Team tees, 2-color front</v>
      </c>
      <c r="J5" s="7">
        <f>IFERROR(__xludf.DUMMYFUNCTION("""COMPUTED_VALUE"""),48.0)</f>
        <v>48</v>
      </c>
      <c r="K5" s="7" t="str">
        <f>IFERROR(__xludf.DUMMYFUNCTION("""COMPUTED_VALUE"""),"Active")</f>
        <v>Active</v>
      </c>
      <c r="L5" s="7" t="str">
        <f>IFERROR(__xludf.DUMMYFUNCTION("""COMPUTED_VALUE"""),"Approved")</f>
        <v>Approved</v>
      </c>
      <c r="M5" s="7" t="str">
        <f>IFERROR(__xludf.DUMMYFUNCTION("""COMPUTED_VALUE"""),"Ordered")</f>
        <v>Ordered</v>
      </c>
      <c r="N5" s="7" t="str">
        <f>IFERROR(__xludf.DUMMYFUNCTION("""COMPUTED_VALUE"""),"Approved")</f>
        <v>Approved</v>
      </c>
      <c r="O5" s="7" t="str">
        <f>IFERROR(__xludf.DUMMYFUNCTION("""COMPUTED_VALUE"""),"In Queue")</f>
        <v>In Queue</v>
      </c>
      <c r="P5" s="7" t="str">
        <f>IFERROR(__xludf.DUMMYFUNCTION("""COMPUTED_VALUE"""),"Pick-Up")</f>
        <v>Pick-Up</v>
      </c>
      <c r="Q5" s="7" t="str">
        <f>IFERROR(__xludf.DUMMYFUNCTION("""COMPUTED_VALUE"""),"Billed")</f>
        <v>Billed</v>
      </c>
      <c r="R5" s="9" t="str">
        <f>IFERROR(__xludf.DUMMYFUNCTION("""COMPUTED_VALUE"""),"Example row - delete when you start")</f>
        <v>Example row - delete when you start</v>
      </c>
    </row>
    <row r="6" ht="19.5" customHeight="1">
      <c r="A6" s="7"/>
      <c r="B6" s="8"/>
      <c r="C6" s="8"/>
      <c r="D6" s="9"/>
      <c r="E6" s="9"/>
      <c r="F6" s="7"/>
      <c r="G6" s="9"/>
      <c r="H6" s="7"/>
      <c r="I6" s="9"/>
      <c r="J6" s="7"/>
      <c r="K6" s="7"/>
      <c r="L6" s="7"/>
      <c r="M6" s="7"/>
      <c r="N6" s="7"/>
      <c r="O6" s="7"/>
      <c r="P6" s="7"/>
      <c r="Q6" s="7"/>
      <c r="R6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4:C1000">
    <cfRule type="expression" dxfId="0" priority="1">
      <formula>AND($K4="Active",C4&lt;&gt;"",C4&lt;TODAY())</formula>
    </cfRule>
  </conditionalFormatting>
  <conditionalFormatting sqref="C4:C1000">
    <cfRule type="expression" dxfId="1" priority="2">
      <formula>AND($K4="Active",C4&lt;&gt;"",C4-TODAY()&lt;=3)</formula>
    </cfRule>
  </conditionalFormatting>
  <conditionalFormatting sqref="K4:Q1000">
    <cfRule type="expression" dxfId="2" priority="3">
      <formula>OR(K4="Approved",K4="Received",K4="Digitized",K4="Finished",K4="Paid in Full",K4="Complete")</formula>
    </cfRule>
  </conditionalFormatting>
  <conditionalFormatting sqref="K4:Q1000">
    <cfRule type="expression" dxfId="3" priority="4">
      <formula>OR(K4="Sent",K4="Ordered",K4="Sent to Customer",K4="Working",K4="Billed")</formula>
    </cfRule>
  </conditionalFormatting>
  <conditionalFormatting sqref="K4:Q1000">
    <cfRule type="expression" dxfId="4" priority="5">
      <formula>OR(K4="Waiting",K4="Dead")</formula>
    </cfRule>
  </conditionalFormatting>
  <conditionalFormatting sqref="K4:Q1000">
    <cfRule type="expression" dxfId="5" priority="6">
      <formula>OR(K4="In Queue",K4="Active",K4="Pick-Up",K4="Ship",K4="Courier")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9.0"/>
    <col customWidth="1" min="2" max="3" width="11.0"/>
    <col customWidth="1" min="4" max="4" width="24.0"/>
    <col customWidth="1" min="5" max="5" width="18.0"/>
    <col customWidth="1" min="6" max="6" width="14.0"/>
    <col customWidth="1" min="7" max="7" width="24.0"/>
    <col customWidth="1" min="8" max="8" width="22.0"/>
    <col customWidth="1" min="9" max="9" width="30.0"/>
    <col customWidth="1" min="10" max="10" width="7.0"/>
    <col customWidth="1" min="11" max="13" width="11.0"/>
    <col customWidth="1" min="14" max="14" width="17.0"/>
    <col customWidth="1" min="15" max="15" width="12.0"/>
    <col customWidth="1" min="16" max="16" width="11.0"/>
    <col customWidth="1" min="17" max="17" width="13.0"/>
    <col customWidth="1" min="18" max="18" width="34.0"/>
    <col customWidth="1" min="19" max="26" width="8.71"/>
  </cols>
  <sheetData>
    <row r="1" ht="30.0" customHeight="1">
      <c r="A1" s="4" t="s">
        <v>5</v>
      </c>
      <c r="B1" s="4" t="s">
        <v>14</v>
      </c>
      <c r="C1" s="4" t="s">
        <v>15</v>
      </c>
      <c r="D1" s="6" t="s">
        <v>17</v>
      </c>
      <c r="E1" s="6" t="s">
        <v>19</v>
      </c>
      <c r="F1" s="4" t="s">
        <v>21</v>
      </c>
      <c r="G1" s="6" t="s">
        <v>22</v>
      </c>
      <c r="H1" s="4" t="s">
        <v>3</v>
      </c>
      <c r="I1" s="6" t="s">
        <v>25</v>
      </c>
      <c r="J1" s="4" t="s">
        <v>27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6" t="s">
        <v>37</v>
      </c>
    </row>
    <row r="2" ht="19.5" customHeight="1">
      <c r="A2" s="7">
        <v>1001.0</v>
      </c>
      <c r="B2" s="8">
        <v>46283.0</v>
      </c>
      <c r="C2" s="8">
        <v>46293.0</v>
      </c>
      <c r="D2" s="9" t="s">
        <v>52</v>
      </c>
      <c r="E2" s="9" t="s">
        <v>53</v>
      </c>
      <c r="F2" s="7" t="s">
        <v>54</v>
      </c>
      <c r="G2" s="9" t="s">
        <v>55</v>
      </c>
      <c r="H2" s="7" t="s">
        <v>47</v>
      </c>
      <c r="I2" s="9" t="s">
        <v>56</v>
      </c>
      <c r="J2" s="7">
        <v>48.0</v>
      </c>
      <c r="K2" s="7" t="s">
        <v>16</v>
      </c>
      <c r="L2" s="7" t="s">
        <v>31</v>
      </c>
      <c r="M2" s="7" t="s">
        <v>32</v>
      </c>
      <c r="N2" s="7" t="s">
        <v>31</v>
      </c>
      <c r="O2" s="7" t="s">
        <v>24</v>
      </c>
      <c r="P2" s="7" t="s">
        <v>26</v>
      </c>
      <c r="Q2" s="7" t="s">
        <v>28</v>
      </c>
      <c r="R2" s="9" t="s">
        <v>57</v>
      </c>
    </row>
    <row r="3" ht="19.5" customHeight="1">
      <c r="A3" s="7">
        <v>1002.0</v>
      </c>
      <c r="B3" s="8">
        <v>46279.0</v>
      </c>
      <c r="C3" s="8">
        <v>46288.0</v>
      </c>
      <c r="D3" s="9" t="s">
        <v>58</v>
      </c>
      <c r="E3" s="9" t="s">
        <v>59</v>
      </c>
      <c r="F3" s="7" t="s">
        <v>60</v>
      </c>
      <c r="G3" s="9" t="s">
        <v>61</v>
      </c>
      <c r="H3" s="7" t="s">
        <v>13</v>
      </c>
      <c r="I3" s="9" t="s">
        <v>62</v>
      </c>
      <c r="J3" s="7">
        <v>24.0</v>
      </c>
      <c r="K3" s="7" t="s">
        <v>16</v>
      </c>
      <c r="L3" s="7" t="s">
        <v>31</v>
      </c>
      <c r="M3" s="7" t="s">
        <v>39</v>
      </c>
      <c r="N3" s="7" t="s">
        <v>40</v>
      </c>
      <c r="O3" s="7" t="s">
        <v>33</v>
      </c>
      <c r="P3" s="7" t="s">
        <v>26</v>
      </c>
      <c r="Q3" s="7" t="s">
        <v>28</v>
      </c>
      <c r="R3" s="9" t="s">
        <v>63</v>
      </c>
    </row>
    <row r="4" ht="19.5" customHeight="1">
      <c r="A4" s="7">
        <v>1003.0</v>
      </c>
      <c r="B4" s="8">
        <v>46269.0</v>
      </c>
      <c r="C4" s="8">
        <v>46277.0</v>
      </c>
      <c r="D4" s="9" t="s">
        <v>64</v>
      </c>
      <c r="E4" s="9" t="s">
        <v>65</v>
      </c>
      <c r="F4" s="7" t="s">
        <v>66</v>
      </c>
      <c r="G4" s="9" t="s">
        <v>67</v>
      </c>
      <c r="H4" s="7" t="s">
        <v>44</v>
      </c>
      <c r="I4" s="9" t="s">
        <v>68</v>
      </c>
      <c r="J4" s="7">
        <v>1.0</v>
      </c>
      <c r="K4" s="7" t="s">
        <v>30</v>
      </c>
      <c r="L4" s="7" t="s">
        <v>31</v>
      </c>
      <c r="M4" s="7" t="s">
        <v>39</v>
      </c>
      <c r="N4" s="7" t="s">
        <v>31</v>
      </c>
      <c r="O4" s="7" t="s">
        <v>41</v>
      </c>
      <c r="P4" s="7" t="s">
        <v>26</v>
      </c>
      <c r="Q4" s="7" t="s">
        <v>35</v>
      </c>
      <c r="R4" s="9" t="s">
        <v>69</v>
      </c>
    </row>
    <row r="5">
      <c r="B5" s="10"/>
      <c r="C5" s="10"/>
    </row>
    <row r="6">
      <c r="B6" s="10"/>
      <c r="C6" s="10"/>
    </row>
    <row r="7">
      <c r="B7" s="10"/>
      <c r="C7" s="10"/>
    </row>
    <row r="8">
      <c r="B8" s="10"/>
      <c r="C8" s="10"/>
    </row>
    <row r="9">
      <c r="B9" s="10"/>
      <c r="C9" s="10"/>
    </row>
    <row r="10">
      <c r="B10" s="10"/>
      <c r="C10" s="10"/>
    </row>
    <row r="11">
      <c r="B11" s="10"/>
      <c r="C11" s="10"/>
    </row>
    <row r="12">
      <c r="B12" s="10"/>
      <c r="C12" s="10"/>
    </row>
    <row r="13">
      <c r="B13" s="10"/>
      <c r="C13" s="10"/>
    </row>
    <row r="14">
      <c r="B14" s="10"/>
      <c r="C14" s="10"/>
    </row>
    <row r="15">
      <c r="B15" s="10"/>
      <c r="C15" s="10"/>
    </row>
    <row r="16">
      <c r="B16" s="10"/>
      <c r="C16" s="10"/>
    </row>
    <row r="17">
      <c r="B17" s="10"/>
      <c r="C17" s="10"/>
    </row>
    <row r="18">
      <c r="B18" s="10"/>
      <c r="C18" s="10"/>
    </row>
    <row r="19">
      <c r="B19" s="10"/>
      <c r="C19" s="10"/>
    </row>
    <row r="20">
      <c r="B20" s="10"/>
      <c r="C20" s="10"/>
    </row>
    <row r="21" ht="15.75" customHeight="1">
      <c r="B21" s="10"/>
      <c r="C21" s="10"/>
    </row>
    <row r="22" ht="15.75" customHeight="1">
      <c r="B22" s="10"/>
      <c r="C22" s="10"/>
    </row>
    <row r="23" ht="15.75" customHeight="1">
      <c r="B23" s="10"/>
      <c r="C23" s="10"/>
    </row>
    <row r="24" ht="15.75" customHeight="1">
      <c r="B24" s="10"/>
      <c r="C24" s="10"/>
    </row>
    <row r="25" ht="15.75" customHeight="1">
      <c r="B25" s="10"/>
      <c r="C25" s="10"/>
    </row>
    <row r="26" ht="15.75" customHeight="1">
      <c r="B26" s="10"/>
      <c r="C26" s="10"/>
    </row>
    <row r="27" ht="15.75" customHeight="1">
      <c r="B27" s="10"/>
      <c r="C27" s="10"/>
    </row>
    <row r="28" ht="15.75" customHeight="1">
      <c r="B28" s="10"/>
      <c r="C28" s="10"/>
    </row>
    <row r="29" ht="15.75" customHeight="1">
      <c r="B29" s="10"/>
      <c r="C29" s="10"/>
    </row>
    <row r="30" ht="15.75" customHeight="1">
      <c r="B30" s="10"/>
      <c r="C30" s="10"/>
    </row>
    <row r="31" ht="15.75" customHeight="1">
      <c r="B31" s="10"/>
      <c r="C31" s="10"/>
    </row>
    <row r="32" ht="15.75" customHeight="1">
      <c r="B32" s="10"/>
      <c r="C32" s="10"/>
    </row>
    <row r="33" ht="15.75" customHeight="1">
      <c r="B33" s="10"/>
      <c r="C33" s="10"/>
    </row>
    <row r="34" ht="15.75" customHeight="1">
      <c r="B34" s="10"/>
      <c r="C34" s="10"/>
    </row>
    <row r="35" ht="15.75" customHeight="1">
      <c r="B35" s="10"/>
      <c r="C35" s="10"/>
    </row>
    <row r="36" ht="15.75" customHeight="1">
      <c r="B36" s="10"/>
      <c r="C36" s="10"/>
    </row>
    <row r="37" ht="15.75" customHeight="1">
      <c r="B37" s="10"/>
      <c r="C37" s="10"/>
    </row>
    <row r="38" ht="15.75" customHeight="1">
      <c r="B38" s="10"/>
      <c r="C38" s="10"/>
    </row>
    <row r="39" ht="15.75" customHeight="1">
      <c r="B39" s="10"/>
      <c r="C39" s="10"/>
    </row>
    <row r="40" ht="15.75" customHeight="1">
      <c r="B40" s="10"/>
      <c r="C40" s="10"/>
    </row>
    <row r="41" ht="15.75" customHeight="1">
      <c r="B41" s="10"/>
      <c r="C41" s="10"/>
    </row>
    <row r="42" ht="15.75" customHeight="1">
      <c r="B42" s="10"/>
      <c r="C42" s="10"/>
    </row>
    <row r="43" ht="15.75" customHeight="1">
      <c r="B43" s="10"/>
      <c r="C43" s="10"/>
    </row>
    <row r="44" ht="15.75" customHeight="1">
      <c r="B44" s="10"/>
      <c r="C44" s="10"/>
    </row>
    <row r="45" ht="15.75" customHeight="1">
      <c r="B45" s="10"/>
      <c r="C45" s="10"/>
    </row>
    <row r="46" ht="15.75" customHeight="1">
      <c r="B46" s="10"/>
      <c r="C46" s="10"/>
    </row>
    <row r="47" ht="15.75" customHeight="1">
      <c r="B47" s="10"/>
      <c r="C47" s="10"/>
    </row>
    <row r="48" ht="15.75" customHeight="1">
      <c r="B48" s="10"/>
      <c r="C48" s="10"/>
    </row>
    <row r="49" ht="15.75" customHeight="1">
      <c r="B49" s="10"/>
      <c r="C49" s="10"/>
    </row>
    <row r="50" ht="15.75" customHeight="1">
      <c r="B50" s="10"/>
      <c r="C50" s="10"/>
    </row>
    <row r="51" ht="15.75" customHeight="1">
      <c r="B51" s="10"/>
      <c r="C51" s="10"/>
    </row>
    <row r="52" ht="15.75" customHeight="1">
      <c r="B52" s="10"/>
      <c r="C52" s="10"/>
    </row>
    <row r="53" ht="15.75" customHeight="1">
      <c r="B53" s="10"/>
      <c r="C53" s="10"/>
    </row>
    <row r="54" ht="15.75" customHeight="1">
      <c r="B54" s="10"/>
      <c r="C54" s="10"/>
    </row>
    <row r="55" ht="15.75" customHeight="1">
      <c r="B55" s="10"/>
      <c r="C55" s="10"/>
    </row>
    <row r="56" ht="15.75" customHeight="1">
      <c r="B56" s="10"/>
      <c r="C56" s="10"/>
    </row>
    <row r="57" ht="15.75" customHeight="1">
      <c r="B57" s="10"/>
      <c r="C57" s="10"/>
    </row>
    <row r="58" ht="15.75" customHeight="1">
      <c r="B58" s="10"/>
      <c r="C58" s="10"/>
    </row>
    <row r="59" ht="15.75" customHeight="1">
      <c r="B59" s="10"/>
      <c r="C59" s="10"/>
    </row>
    <row r="60" ht="15.75" customHeight="1">
      <c r="B60" s="10"/>
      <c r="C60" s="10"/>
    </row>
    <row r="61" ht="15.75" customHeight="1">
      <c r="B61" s="10"/>
      <c r="C61" s="10"/>
    </row>
    <row r="62" ht="15.75" customHeight="1">
      <c r="B62" s="10"/>
      <c r="C62" s="10"/>
    </row>
    <row r="63" ht="15.75" customHeight="1">
      <c r="B63" s="10"/>
      <c r="C63" s="10"/>
    </row>
    <row r="64" ht="15.75" customHeight="1">
      <c r="B64" s="10"/>
      <c r="C64" s="10"/>
    </row>
    <row r="65" ht="15.75" customHeight="1">
      <c r="B65" s="10"/>
      <c r="C65" s="10"/>
    </row>
    <row r="66" ht="15.75" customHeight="1">
      <c r="B66" s="10"/>
      <c r="C66" s="10"/>
    </row>
    <row r="67" ht="15.75" customHeight="1">
      <c r="B67" s="10"/>
      <c r="C67" s="10"/>
    </row>
    <row r="68" ht="15.75" customHeight="1">
      <c r="B68" s="10"/>
      <c r="C68" s="10"/>
    </row>
    <row r="69" ht="15.75" customHeight="1">
      <c r="B69" s="10"/>
      <c r="C69" s="10"/>
    </row>
    <row r="70" ht="15.75" customHeight="1">
      <c r="B70" s="10"/>
      <c r="C70" s="10"/>
    </row>
    <row r="71" ht="15.75" customHeight="1">
      <c r="B71" s="10"/>
      <c r="C71" s="10"/>
    </row>
    <row r="72" ht="15.75" customHeight="1">
      <c r="B72" s="10"/>
      <c r="C72" s="10"/>
    </row>
    <row r="73" ht="15.75" customHeight="1">
      <c r="B73" s="10"/>
      <c r="C73" s="10"/>
    </row>
    <row r="74" ht="15.75" customHeight="1">
      <c r="B74" s="10"/>
      <c r="C74" s="10"/>
    </row>
    <row r="75" ht="15.75" customHeight="1">
      <c r="B75" s="10"/>
      <c r="C75" s="10"/>
    </row>
    <row r="76" ht="15.75" customHeight="1">
      <c r="B76" s="10"/>
      <c r="C76" s="10"/>
    </row>
    <row r="77" ht="15.75" customHeight="1">
      <c r="B77" s="10"/>
      <c r="C77" s="10"/>
    </row>
    <row r="78" ht="15.75" customHeight="1">
      <c r="B78" s="10"/>
      <c r="C78" s="10"/>
    </row>
    <row r="79" ht="15.75" customHeight="1">
      <c r="B79" s="10"/>
      <c r="C79" s="10"/>
    </row>
    <row r="80" ht="15.75" customHeight="1">
      <c r="B80" s="10"/>
      <c r="C80" s="10"/>
    </row>
    <row r="81" ht="15.75" customHeight="1">
      <c r="B81" s="10"/>
      <c r="C81" s="10"/>
    </row>
    <row r="82" ht="15.75" customHeight="1">
      <c r="B82" s="10"/>
      <c r="C82" s="10"/>
    </row>
    <row r="83" ht="15.75" customHeight="1">
      <c r="B83" s="10"/>
      <c r="C83" s="10"/>
    </row>
    <row r="84" ht="15.75" customHeight="1">
      <c r="B84" s="10"/>
      <c r="C84" s="10"/>
    </row>
    <row r="85" ht="15.75" customHeight="1">
      <c r="B85" s="10"/>
      <c r="C85" s="10"/>
    </row>
    <row r="86" ht="15.75" customHeight="1">
      <c r="B86" s="10"/>
      <c r="C86" s="10"/>
    </row>
    <row r="87" ht="15.75" customHeight="1">
      <c r="B87" s="10"/>
      <c r="C87" s="10"/>
    </row>
    <row r="88" ht="15.75" customHeight="1">
      <c r="B88" s="10"/>
      <c r="C88" s="10"/>
    </row>
    <row r="89" ht="15.75" customHeight="1">
      <c r="B89" s="10"/>
      <c r="C89" s="10"/>
    </row>
    <row r="90" ht="15.75" customHeight="1">
      <c r="B90" s="10"/>
      <c r="C90" s="10"/>
    </row>
    <row r="91" ht="15.75" customHeight="1">
      <c r="B91" s="10"/>
      <c r="C91" s="10"/>
    </row>
    <row r="92" ht="15.75" customHeight="1">
      <c r="B92" s="10"/>
      <c r="C92" s="10"/>
    </row>
    <row r="93" ht="15.75" customHeight="1">
      <c r="B93" s="10"/>
      <c r="C93" s="10"/>
    </row>
    <row r="94" ht="15.75" customHeight="1">
      <c r="B94" s="10"/>
      <c r="C94" s="10"/>
    </row>
    <row r="95" ht="15.75" customHeight="1">
      <c r="B95" s="10"/>
      <c r="C95" s="10"/>
    </row>
    <row r="96" ht="15.75" customHeight="1">
      <c r="B96" s="10"/>
      <c r="C96" s="10"/>
    </row>
    <row r="97" ht="15.75" customHeight="1">
      <c r="B97" s="10"/>
      <c r="C97" s="10"/>
    </row>
    <row r="98" ht="15.75" customHeight="1">
      <c r="B98" s="10"/>
      <c r="C98" s="10"/>
    </row>
    <row r="99" ht="15.75" customHeight="1">
      <c r="B99" s="10"/>
      <c r="C99" s="10"/>
    </row>
    <row r="100" ht="15.75" customHeight="1">
      <c r="B100" s="10"/>
      <c r="C100" s="10"/>
    </row>
    <row r="101" ht="15.75" customHeight="1">
      <c r="B101" s="10"/>
      <c r="C101" s="10"/>
    </row>
    <row r="102" ht="15.75" customHeight="1">
      <c r="B102" s="10"/>
      <c r="C102" s="10"/>
    </row>
    <row r="103" ht="15.75" customHeight="1">
      <c r="B103" s="10"/>
      <c r="C103" s="10"/>
    </row>
    <row r="104" ht="15.75" customHeight="1">
      <c r="B104" s="10"/>
      <c r="C104" s="10"/>
    </row>
    <row r="105" ht="15.75" customHeight="1">
      <c r="B105" s="10"/>
      <c r="C105" s="10"/>
    </row>
    <row r="106" ht="15.75" customHeight="1">
      <c r="B106" s="10"/>
      <c r="C106" s="10"/>
    </row>
    <row r="107" ht="15.75" customHeight="1">
      <c r="B107" s="10"/>
      <c r="C107" s="10"/>
    </row>
    <row r="108" ht="15.75" customHeight="1">
      <c r="B108" s="10"/>
      <c r="C108" s="10"/>
    </row>
    <row r="109" ht="15.75" customHeight="1">
      <c r="B109" s="10"/>
      <c r="C109" s="10"/>
    </row>
    <row r="110" ht="15.75" customHeight="1">
      <c r="B110" s="10"/>
      <c r="C110" s="10"/>
    </row>
    <row r="111" ht="15.75" customHeight="1">
      <c r="B111" s="10"/>
      <c r="C111" s="10"/>
    </row>
    <row r="112" ht="15.75" customHeight="1">
      <c r="B112" s="10"/>
      <c r="C112" s="10"/>
    </row>
    <row r="113" ht="15.75" customHeight="1">
      <c r="B113" s="10"/>
      <c r="C113" s="10"/>
    </row>
    <row r="114" ht="15.75" customHeight="1">
      <c r="B114" s="10"/>
      <c r="C114" s="10"/>
    </row>
    <row r="115" ht="15.75" customHeight="1">
      <c r="B115" s="10"/>
      <c r="C115" s="10"/>
    </row>
    <row r="116" ht="15.75" customHeight="1">
      <c r="B116" s="10"/>
      <c r="C116" s="10"/>
    </row>
    <row r="117" ht="15.75" customHeight="1">
      <c r="B117" s="10"/>
      <c r="C117" s="10"/>
    </row>
    <row r="118" ht="15.75" customHeight="1">
      <c r="B118" s="10"/>
      <c r="C118" s="10"/>
    </row>
    <row r="119" ht="15.75" customHeight="1">
      <c r="B119" s="10"/>
      <c r="C119" s="10"/>
    </row>
    <row r="120" ht="15.75" customHeight="1">
      <c r="B120" s="10"/>
      <c r="C120" s="10"/>
    </row>
    <row r="121" ht="15.75" customHeight="1">
      <c r="B121" s="10"/>
      <c r="C121" s="10"/>
    </row>
    <row r="122" ht="15.75" customHeight="1">
      <c r="B122" s="10"/>
      <c r="C122" s="10"/>
    </row>
    <row r="123" ht="15.75" customHeight="1">
      <c r="B123" s="10"/>
      <c r="C123" s="10"/>
    </row>
    <row r="124" ht="15.75" customHeight="1">
      <c r="B124" s="10"/>
      <c r="C124" s="10"/>
    </row>
    <row r="125" ht="15.75" customHeight="1">
      <c r="B125" s="10"/>
      <c r="C125" s="10"/>
    </row>
    <row r="126" ht="15.75" customHeight="1">
      <c r="B126" s="10"/>
      <c r="C126" s="10"/>
    </row>
    <row r="127" ht="15.75" customHeight="1">
      <c r="B127" s="10"/>
      <c r="C127" s="10"/>
    </row>
    <row r="128" ht="15.75" customHeight="1">
      <c r="B128" s="10"/>
      <c r="C128" s="10"/>
    </row>
    <row r="129" ht="15.75" customHeight="1">
      <c r="B129" s="10"/>
      <c r="C129" s="10"/>
    </row>
    <row r="130" ht="15.75" customHeight="1">
      <c r="B130" s="10"/>
      <c r="C130" s="10"/>
    </row>
    <row r="131" ht="15.75" customHeight="1">
      <c r="B131" s="10"/>
      <c r="C131" s="10"/>
    </row>
    <row r="132" ht="15.75" customHeight="1">
      <c r="B132" s="10"/>
      <c r="C132" s="10"/>
    </row>
    <row r="133" ht="15.75" customHeight="1">
      <c r="B133" s="10"/>
      <c r="C133" s="10"/>
    </row>
    <row r="134" ht="15.75" customHeight="1">
      <c r="B134" s="10"/>
      <c r="C134" s="10"/>
    </row>
    <row r="135" ht="15.75" customHeight="1">
      <c r="B135" s="10"/>
      <c r="C135" s="10"/>
    </row>
    <row r="136" ht="15.75" customHeight="1">
      <c r="B136" s="10"/>
      <c r="C136" s="10"/>
    </row>
    <row r="137" ht="15.75" customHeight="1">
      <c r="B137" s="10"/>
      <c r="C137" s="10"/>
    </row>
    <row r="138" ht="15.75" customHeight="1">
      <c r="B138" s="10"/>
      <c r="C138" s="10"/>
    </row>
    <row r="139" ht="15.75" customHeight="1">
      <c r="B139" s="10"/>
      <c r="C139" s="10"/>
    </row>
    <row r="140" ht="15.75" customHeight="1">
      <c r="B140" s="10"/>
      <c r="C140" s="10"/>
    </row>
    <row r="141" ht="15.75" customHeight="1">
      <c r="B141" s="10"/>
      <c r="C141" s="10"/>
    </row>
    <row r="142" ht="15.75" customHeight="1">
      <c r="B142" s="10"/>
      <c r="C142" s="10"/>
    </row>
    <row r="143" ht="15.75" customHeight="1">
      <c r="B143" s="10"/>
      <c r="C143" s="10"/>
    </row>
    <row r="144" ht="15.75" customHeight="1">
      <c r="B144" s="10"/>
      <c r="C144" s="10"/>
    </row>
    <row r="145" ht="15.75" customHeight="1">
      <c r="B145" s="10"/>
      <c r="C145" s="10"/>
    </row>
    <row r="146" ht="15.75" customHeight="1">
      <c r="B146" s="10"/>
      <c r="C146" s="10"/>
    </row>
    <row r="147" ht="15.75" customHeight="1">
      <c r="B147" s="10"/>
      <c r="C147" s="10"/>
    </row>
    <row r="148" ht="15.75" customHeight="1">
      <c r="B148" s="10"/>
      <c r="C148" s="10"/>
    </row>
    <row r="149" ht="15.75" customHeight="1">
      <c r="B149" s="10"/>
      <c r="C149" s="10"/>
    </row>
    <row r="150" ht="15.75" customHeight="1">
      <c r="B150" s="10"/>
      <c r="C150" s="10"/>
    </row>
    <row r="151" ht="15.75" customHeight="1">
      <c r="B151" s="10"/>
      <c r="C151" s="10"/>
    </row>
    <row r="152" ht="15.75" customHeight="1">
      <c r="B152" s="10"/>
      <c r="C152" s="10"/>
    </row>
    <row r="153" ht="15.75" customHeight="1">
      <c r="B153" s="10"/>
      <c r="C153" s="10"/>
    </row>
    <row r="154" ht="15.75" customHeight="1">
      <c r="B154" s="10"/>
      <c r="C154" s="10"/>
    </row>
    <row r="155" ht="15.75" customHeight="1">
      <c r="B155" s="10"/>
      <c r="C155" s="10"/>
    </row>
    <row r="156" ht="15.75" customHeight="1">
      <c r="B156" s="10"/>
      <c r="C156" s="10"/>
    </row>
    <row r="157" ht="15.75" customHeight="1">
      <c r="B157" s="10"/>
      <c r="C157" s="10"/>
    </row>
    <row r="158" ht="15.75" customHeight="1">
      <c r="B158" s="10"/>
      <c r="C158" s="10"/>
    </row>
    <row r="159" ht="15.75" customHeight="1">
      <c r="B159" s="10"/>
      <c r="C159" s="10"/>
    </row>
    <row r="160" ht="15.75" customHeight="1">
      <c r="B160" s="10"/>
      <c r="C160" s="10"/>
    </row>
    <row r="161" ht="15.75" customHeight="1">
      <c r="B161" s="10"/>
      <c r="C161" s="10"/>
    </row>
    <row r="162" ht="15.75" customHeight="1">
      <c r="B162" s="10"/>
      <c r="C162" s="10"/>
    </row>
    <row r="163" ht="15.75" customHeight="1">
      <c r="B163" s="10"/>
      <c r="C163" s="10"/>
    </row>
    <row r="164" ht="15.75" customHeight="1">
      <c r="B164" s="10"/>
      <c r="C164" s="10"/>
    </row>
    <row r="165" ht="15.75" customHeight="1">
      <c r="B165" s="10"/>
      <c r="C165" s="10"/>
    </row>
    <row r="166" ht="15.75" customHeight="1">
      <c r="B166" s="10"/>
      <c r="C166" s="10"/>
    </row>
    <row r="167" ht="15.75" customHeight="1">
      <c r="B167" s="10"/>
      <c r="C167" s="10"/>
    </row>
    <row r="168" ht="15.75" customHeight="1">
      <c r="B168" s="10"/>
      <c r="C168" s="10"/>
    </row>
    <row r="169" ht="15.75" customHeight="1">
      <c r="B169" s="10"/>
      <c r="C169" s="10"/>
    </row>
    <row r="170" ht="15.75" customHeight="1">
      <c r="B170" s="10"/>
      <c r="C170" s="10"/>
    </row>
    <row r="171" ht="15.75" customHeight="1">
      <c r="B171" s="10"/>
      <c r="C171" s="10"/>
    </row>
    <row r="172" ht="15.75" customHeight="1">
      <c r="B172" s="10"/>
      <c r="C172" s="10"/>
    </row>
    <row r="173" ht="15.75" customHeight="1">
      <c r="B173" s="10"/>
      <c r="C173" s="10"/>
    </row>
    <row r="174" ht="15.75" customHeight="1">
      <c r="B174" s="10"/>
      <c r="C174" s="10"/>
    </row>
    <row r="175" ht="15.75" customHeight="1">
      <c r="B175" s="10"/>
      <c r="C175" s="10"/>
    </row>
    <row r="176" ht="15.75" customHeight="1">
      <c r="B176" s="10"/>
      <c r="C176" s="10"/>
    </row>
    <row r="177" ht="15.75" customHeight="1">
      <c r="B177" s="10"/>
      <c r="C177" s="10"/>
    </row>
    <row r="178" ht="15.75" customHeight="1">
      <c r="B178" s="10"/>
      <c r="C178" s="10"/>
    </row>
    <row r="179" ht="15.75" customHeight="1">
      <c r="B179" s="10"/>
      <c r="C179" s="10"/>
    </row>
    <row r="180" ht="15.75" customHeight="1">
      <c r="B180" s="10"/>
      <c r="C180" s="10"/>
    </row>
    <row r="181" ht="15.75" customHeight="1">
      <c r="B181" s="10"/>
      <c r="C181" s="10"/>
    </row>
    <row r="182" ht="15.75" customHeight="1">
      <c r="B182" s="10"/>
      <c r="C182" s="10"/>
    </row>
    <row r="183" ht="15.75" customHeight="1">
      <c r="B183" s="10"/>
      <c r="C183" s="10"/>
    </row>
    <row r="184" ht="15.75" customHeight="1">
      <c r="B184" s="10"/>
      <c r="C184" s="10"/>
    </row>
    <row r="185" ht="15.75" customHeight="1">
      <c r="B185" s="10"/>
      <c r="C185" s="10"/>
    </row>
    <row r="186" ht="15.75" customHeight="1">
      <c r="B186" s="10"/>
      <c r="C186" s="10"/>
    </row>
    <row r="187" ht="15.75" customHeight="1">
      <c r="B187" s="10"/>
      <c r="C187" s="10"/>
    </row>
    <row r="188" ht="15.75" customHeight="1">
      <c r="B188" s="10"/>
      <c r="C188" s="10"/>
    </row>
    <row r="189" ht="15.75" customHeight="1">
      <c r="B189" s="10"/>
      <c r="C189" s="10"/>
    </row>
    <row r="190" ht="15.75" customHeight="1">
      <c r="B190" s="10"/>
      <c r="C190" s="10"/>
    </row>
    <row r="191" ht="15.75" customHeight="1">
      <c r="B191" s="10"/>
      <c r="C191" s="10"/>
    </row>
    <row r="192" ht="15.75" customHeight="1">
      <c r="B192" s="10"/>
      <c r="C192" s="10"/>
    </row>
    <row r="193" ht="15.75" customHeight="1">
      <c r="B193" s="10"/>
      <c r="C193" s="10"/>
    </row>
    <row r="194" ht="15.75" customHeight="1">
      <c r="B194" s="10"/>
      <c r="C194" s="10"/>
    </row>
    <row r="195" ht="15.75" customHeight="1">
      <c r="B195" s="10"/>
      <c r="C195" s="10"/>
    </row>
    <row r="196" ht="15.75" customHeight="1">
      <c r="B196" s="10"/>
      <c r="C196" s="10"/>
    </row>
    <row r="197" ht="15.75" customHeight="1">
      <c r="B197" s="10"/>
      <c r="C197" s="10"/>
    </row>
    <row r="198" ht="15.75" customHeight="1">
      <c r="B198" s="10"/>
      <c r="C198" s="10"/>
    </row>
    <row r="199" ht="15.75" customHeight="1">
      <c r="B199" s="10"/>
      <c r="C199" s="10"/>
    </row>
    <row r="200" ht="15.75" customHeight="1">
      <c r="B200" s="10"/>
      <c r="C200" s="10"/>
    </row>
    <row r="201" ht="15.75" customHeight="1">
      <c r="B201" s="10"/>
      <c r="C201" s="10"/>
    </row>
    <row r="202" ht="15.75" customHeight="1">
      <c r="B202" s="10"/>
      <c r="C202" s="10"/>
    </row>
    <row r="203" ht="15.75" customHeight="1">
      <c r="B203" s="10"/>
      <c r="C203" s="10"/>
    </row>
    <row r="204" ht="15.75" customHeight="1">
      <c r="B204" s="10"/>
      <c r="C204" s="10"/>
    </row>
    <row r="205" ht="15.75" customHeight="1">
      <c r="B205" s="10"/>
      <c r="C205" s="10"/>
    </row>
    <row r="206" ht="15.75" customHeight="1">
      <c r="B206" s="10"/>
      <c r="C206" s="10"/>
    </row>
    <row r="207" ht="15.75" customHeight="1">
      <c r="B207" s="10"/>
      <c r="C207" s="10"/>
    </row>
    <row r="208" ht="15.75" customHeight="1">
      <c r="B208" s="10"/>
      <c r="C208" s="10"/>
    </row>
    <row r="209" ht="15.75" customHeight="1">
      <c r="B209" s="10"/>
      <c r="C209" s="10"/>
    </row>
    <row r="210" ht="15.75" customHeight="1">
      <c r="B210" s="10"/>
      <c r="C210" s="10"/>
    </row>
    <row r="211" ht="15.75" customHeight="1">
      <c r="B211" s="10"/>
      <c r="C211" s="10"/>
    </row>
    <row r="212" ht="15.75" customHeight="1">
      <c r="B212" s="10"/>
      <c r="C212" s="10"/>
    </row>
    <row r="213" ht="15.75" customHeight="1">
      <c r="B213" s="10"/>
      <c r="C213" s="10"/>
    </row>
    <row r="214" ht="15.75" customHeight="1">
      <c r="B214" s="10"/>
      <c r="C214" s="10"/>
    </row>
    <row r="215" ht="15.75" customHeight="1">
      <c r="B215" s="10"/>
      <c r="C215" s="10"/>
    </row>
    <row r="216" ht="15.75" customHeight="1">
      <c r="B216" s="10"/>
      <c r="C216" s="10"/>
    </row>
    <row r="217" ht="15.75" customHeight="1">
      <c r="B217" s="10"/>
      <c r="C217" s="10"/>
    </row>
    <row r="218" ht="15.75" customHeight="1">
      <c r="B218" s="10"/>
      <c r="C218" s="10"/>
    </row>
    <row r="219" ht="15.75" customHeight="1">
      <c r="B219" s="10"/>
      <c r="C219" s="10"/>
    </row>
    <row r="220" ht="15.75" customHeight="1">
      <c r="B220" s="10"/>
      <c r="C220" s="10"/>
    </row>
    <row r="221" ht="15.75" customHeight="1">
      <c r="B221" s="10"/>
      <c r="C221" s="10"/>
    </row>
    <row r="222" ht="15.75" customHeight="1">
      <c r="B222" s="10"/>
      <c r="C222" s="10"/>
    </row>
    <row r="223" ht="15.75" customHeight="1">
      <c r="B223" s="10"/>
      <c r="C223" s="10"/>
    </row>
    <row r="224" ht="15.75" customHeight="1">
      <c r="B224" s="10"/>
      <c r="C224" s="10"/>
    </row>
    <row r="225" ht="15.75" customHeight="1">
      <c r="B225" s="10"/>
      <c r="C225" s="10"/>
    </row>
    <row r="226" ht="15.75" customHeight="1">
      <c r="B226" s="10"/>
      <c r="C226" s="10"/>
    </row>
    <row r="227" ht="15.75" customHeight="1">
      <c r="B227" s="10"/>
      <c r="C227" s="10"/>
    </row>
    <row r="228" ht="15.75" customHeight="1">
      <c r="B228" s="10"/>
      <c r="C228" s="10"/>
    </row>
    <row r="229" ht="15.75" customHeight="1">
      <c r="B229" s="10"/>
      <c r="C229" s="10"/>
    </row>
    <row r="230" ht="15.75" customHeight="1">
      <c r="B230" s="10"/>
      <c r="C230" s="10"/>
    </row>
    <row r="231" ht="15.75" customHeight="1">
      <c r="B231" s="10"/>
      <c r="C231" s="10"/>
    </row>
    <row r="232" ht="15.75" customHeight="1">
      <c r="B232" s="10"/>
      <c r="C232" s="10"/>
    </row>
    <row r="233" ht="15.75" customHeight="1">
      <c r="B233" s="10"/>
      <c r="C233" s="10"/>
    </row>
    <row r="234" ht="15.75" customHeight="1">
      <c r="B234" s="10"/>
      <c r="C234" s="10"/>
    </row>
    <row r="235" ht="15.75" customHeight="1">
      <c r="B235" s="10"/>
      <c r="C235" s="10"/>
    </row>
    <row r="236" ht="15.75" customHeight="1">
      <c r="B236" s="10"/>
      <c r="C236" s="10"/>
    </row>
    <row r="237" ht="15.75" customHeight="1">
      <c r="B237" s="10"/>
      <c r="C237" s="10"/>
    </row>
    <row r="238" ht="15.75" customHeight="1">
      <c r="B238" s="10"/>
      <c r="C238" s="10"/>
    </row>
    <row r="239" ht="15.75" customHeight="1">
      <c r="B239" s="10"/>
      <c r="C239" s="10"/>
    </row>
    <row r="240" ht="15.75" customHeight="1">
      <c r="B240" s="10"/>
      <c r="C240" s="10"/>
    </row>
    <row r="241" ht="15.75" customHeight="1">
      <c r="B241" s="10"/>
      <c r="C241" s="10"/>
    </row>
    <row r="242" ht="15.75" customHeight="1">
      <c r="B242" s="10"/>
      <c r="C242" s="10"/>
    </row>
    <row r="243" ht="15.75" customHeight="1">
      <c r="B243" s="10"/>
      <c r="C243" s="10"/>
    </row>
    <row r="244" ht="15.75" customHeight="1">
      <c r="B244" s="10"/>
      <c r="C244" s="10"/>
    </row>
    <row r="245" ht="15.75" customHeight="1">
      <c r="B245" s="10"/>
      <c r="C245" s="10"/>
    </row>
    <row r="246" ht="15.75" customHeight="1">
      <c r="B246" s="10"/>
      <c r="C246" s="10"/>
    </row>
    <row r="247" ht="15.75" customHeight="1">
      <c r="B247" s="10"/>
      <c r="C247" s="10"/>
    </row>
    <row r="248" ht="15.75" customHeight="1">
      <c r="B248" s="10"/>
      <c r="C248" s="10"/>
    </row>
    <row r="249" ht="15.75" customHeight="1">
      <c r="B249" s="10"/>
      <c r="C249" s="10"/>
    </row>
    <row r="250" ht="15.75" customHeight="1">
      <c r="B250" s="10"/>
      <c r="C250" s="10"/>
    </row>
    <row r="251" ht="15.75" customHeight="1">
      <c r="B251" s="10"/>
      <c r="C251" s="10"/>
    </row>
    <row r="252" ht="15.75" customHeight="1">
      <c r="B252" s="10"/>
      <c r="C252" s="10"/>
    </row>
    <row r="253" ht="15.75" customHeight="1">
      <c r="B253" s="10"/>
      <c r="C253" s="10"/>
    </row>
    <row r="254" ht="15.75" customHeight="1">
      <c r="B254" s="10"/>
      <c r="C254" s="10"/>
    </row>
    <row r="255" ht="15.75" customHeight="1">
      <c r="B255" s="10"/>
      <c r="C255" s="10"/>
    </row>
    <row r="256" ht="15.75" customHeight="1">
      <c r="B256" s="10"/>
      <c r="C256" s="10"/>
    </row>
    <row r="257" ht="15.75" customHeight="1">
      <c r="B257" s="10"/>
      <c r="C257" s="10"/>
    </row>
    <row r="258" ht="15.75" customHeight="1">
      <c r="B258" s="10"/>
      <c r="C258" s="10"/>
    </row>
    <row r="259" ht="15.75" customHeight="1">
      <c r="B259" s="10"/>
      <c r="C259" s="10"/>
    </row>
    <row r="260" ht="15.75" customHeight="1">
      <c r="B260" s="10"/>
      <c r="C260" s="10"/>
    </row>
    <row r="261" ht="15.75" customHeight="1">
      <c r="B261" s="10"/>
      <c r="C261" s="10"/>
    </row>
    <row r="262" ht="15.75" customHeight="1">
      <c r="B262" s="10"/>
      <c r="C262" s="10"/>
    </row>
    <row r="263" ht="15.75" customHeight="1">
      <c r="B263" s="10"/>
      <c r="C263" s="10"/>
    </row>
    <row r="264" ht="15.75" customHeight="1">
      <c r="B264" s="10"/>
      <c r="C264" s="10"/>
    </row>
    <row r="265" ht="15.75" customHeight="1">
      <c r="B265" s="10"/>
      <c r="C265" s="10"/>
    </row>
    <row r="266" ht="15.75" customHeight="1">
      <c r="B266" s="10"/>
      <c r="C266" s="10"/>
    </row>
    <row r="267" ht="15.75" customHeight="1">
      <c r="B267" s="10"/>
      <c r="C267" s="10"/>
    </row>
    <row r="268" ht="15.75" customHeight="1">
      <c r="B268" s="10"/>
      <c r="C268" s="10"/>
    </row>
    <row r="269" ht="15.75" customHeight="1">
      <c r="B269" s="10"/>
      <c r="C269" s="10"/>
    </row>
    <row r="270" ht="15.75" customHeight="1">
      <c r="B270" s="10"/>
      <c r="C270" s="10"/>
    </row>
    <row r="271" ht="15.75" customHeight="1">
      <c r="B271" s="10"/>
      <c r="C271" s="10"/>
    </row>
    <row r="272" ht="15.75" customHeight="1">
      <c r="B272" s="10"/>
      <c r="C272" s="10"/>
    </row>
    <row r="273" ht="15.75" customHeight="1">
      <c r="B273" s="10"/>
      <c r="C273" s="10"/>
    </row>
    <row r="274" ht="15.75" customHeight="1">
      <c r="B274" s="10"/>
      <c r="C274" s="10"/>
    </row>
    <row r="275" ht="15.75" customHeight="1">
      <c r="B275" s="10"/>
      <c r="C275" s="10"/>
    </row>
    <row r="276" ht="15.75" customHeight="1">
      <c r="B276" s="10"/>
      <c r="C276" s="10"/>
    </row>
    <row r="277" ht="15.75" customHeight="1">
      <c r="B277" s="10"/>
      <c r="C277" s="10"/>
    </row>
    <row r="278" ht="15.75" customHeight="1">
      <c r="B278" s="10"/>
      <c r="C278" s="10"/>
    </row>
    <row r="279" ht="15.75" customHeight="1">
      <c r="B279" s="10"/>
      <c r="C279" s="10"/>
    </row>
    <row r="280" ht="15.75" customHeight="1">
      <c r="B280" s="10"/>
      <c r="C280" s="10"/>
    </row>
    <row r="281" ht="15.75" customHeight="1">
      <c r="B281" s="10"/>
      <c r="C281" s="10"/>
    </row>
    <row r="282" ht="15.75" customHeight="1">
      <c r="B282" s="10"/>
      <c r="C282" s="10"/>
    </row>
    <row r="283" ht="15.75" customHeight="1">
      <c r="B283" s="10"/>
      <c r="C283" s="10"/>
    </row>
    <row r="284" ht="15.75" customHeight="1">
      <c r="B284" s="10"/>
      <c r="C284" s="10"/>
    </row>
    <row r="285" ht="15.75" customHeight="1">
      <c r="B285" s="10"/>
      <c r="C285" s="10"/>
    </row>
    <row r="286" ht="15.75" customHeight="1">
      <c r="B286" s="10"/>
      <c r="C286" s="10"/>
    </row>
    <row r="287" ht="15.75" customHeight="1">
      <c r="B287" s="10"/>
      <c r="C287" s="10"/>
    </row>
    <row r="288" ht="15.75" customHeight="1">
      <c r="B288" s="10"/>
      <c r="C288" s="10"/>
    </row>
    <row r="289" ht="15.75" customHeight="1">
      <c r="B289" s="10"/>
      <c r="C289" s="10"/>
    </row>
    <row r="290" ht="15.75" customHeight="1">
      <c r="B290" s="10"/>
      <c r="C290" s="10"/>
    </row>
    <row r="291" ht="15.75" customHeight="1">
      <c r="B291" s="10"/>
      <c r="C291" s="10"/>
    </row>
    <row r="292" ht="15.75" customHeight="1">
      <c r="B292" s="10"/>
      <c r="C292" s="10"/>
    </row>
    <row r="293" ht="15.75" customHeight="1">
      <c r="B293" s="10"/>
      <c r="C293" s="10"/>
    </row>
    <row r="294" ht="15.75" customHeight="1">
      <c r="B294" s="10"/>
      <c r="C294" s="10"/>
    </row>
    <row r="295" ht="15.75" customHeight="1">
      <c r="B295" s="10"/>
      <c r="C295" s="10"/>
    </row>
    <row r="296" ht="15.75" customHeight="1">
      <c r="B296" s="10"/>
      <c r="C296" s="10"/>
    </row>
    <row r="297" ht="15.75" customHeight="1">
      <c r="B297" s="10"/>
      <c r="C297" s="10"/>
    </row>
    <row r="298" ht="15.75" customHeight="1">
      <c r="B298" s="10"/>
      <c r="C298" s="10"/>
    </row>
    <row r="299" ht="15.75" customHeight="1">
      <c r="B299" s="10"/>
      <c r="C299" s="10"/>
    </row>
    <row r="300" ht="15.75" customHeight="1">
      <c r="B300" s="10"/>
      <c r="C300" s="10"/>
    </row>
    <row r="301" ht="15.75" customHeight="1">
      <c r="B301" s="10"/>
      <c r="C301" s="10"/>
    </row>
    <row r="302" ht="15.75" customHeight="1">
      <c r="B302" s="10"/>
      <c r="C302" s="10"/>
    </row>
    <row r="303" ht="15.75" customHeight="1">
      <c r="B303" s="10"/>
      <c r="C303" s="10"/>
    </row>
    <row r="304" ht="15.75" customHeight="1">
      <c r="B304" s="10"/>
      <c r="C304" s="10"/>
    </row>
    <row r="305" ht="15.75" customHeight="1">
      <c r="B305" s="10"/>
      <c r="C305" s="10"/>
    </row>
    <row r="306" ht="15.75" customHeight="1">
      <c r="B306" s="10"/>
      <c r="C306" s="10"/>
    </row>
    <row r="307" ht="15.75" customHeight="1">
      <c r="B307" s="10"/>
      <c r="C307" s="10"/>
    </row>
    <row r="308" ht="15.75" customHeight="1">
      <c r="B308" s="10"/>
      <c r="C308" s="10"/>
    </row>
    <row r="309" ht="15.75" customHeight="1">
      <c r="B309" s="10"/>
      <c r="C309" s="10"/>
    </row>
    <row r="310" ht="15.75" customHeight="1">
      <c r="B310" s="10"/>
      <c r="C310" s="10"/>
    </row>
    <row r="311" ht="15.75" customHeight="1">
      <c r="B311" s="10"/>
      <c r="C311" s="10"/>
    </row>
    <row r="312" ht="15.75" customHeight="1">
      <c r="B312" s="10"/>
      <c r="C312" s="10"/>
    </row>
    <row r="313" ht="15.75" customHeight="1">
      <c r="B313" s="10"/>
      <c r="C313" s="10"/>
    </row>
    <row r="314" ht="15.75" customHeight="1">
      <c r="B314" s="10"/>
      <c r="C314" s="10"/>
    </row>
    <row r="315" ht="15.75" customHeight="1">
      <c r="B315" s="10"/>
      <c r="C315" s="10"/>
    </row>
    <row r="316" ht="15.75" customHeight="1">
      <c r="B316" s="10"/>
      <c r="C316" s="10"/>
    </row>
    <row r="317" ht="15.75" customHeight="1">
      <c r="B317" s="10"/>
      <c r="C317" s="10"/>
    </row>
    <row r="318" ht="15.75" customHeight="1">
      <c r="B318" s="10"/>
      <c r="C318" s="10"/>
    </row>
    <row r="319" ht="15.75" customHeight="1">
      <c r="B319" s="10"/>
      <c r="C319" s="10"/>
    </row>
    <row r="320" ht="15.75" customHeight="1">
      <c r="B320" s="10"/>
      <c r="C320" s="10"/>
    </row>
    <row r="321" ht="15.75" customHeight="1">
      <c r="B321" s="10"/>
      <c r="C321" s="10"/>
    </row>
    <row r="322" ht="15.75" customHeight="1">
      <c r="B322" s="10"/>
      <c r="C322" s="10"/>
    </row>
    <row r="323" ht="15.75" customHeight="1">
      <c r="B323" s="10"/>
      <c r="C323" s="10"/>
    </row>
    <row r="324" ht="15.75" customHeight="1">
      <c r="B324" s="10"/>
      <c r="C324" s="10"/>
    </row>
    <row r="325" ht="15.75" customHeight="1">
      <c r="B325" s="10"/>
      <c r="C325" s="10"/>
    </row>
    <row r="326" ht="15.75" customHeight="1">
      <c r="B326" s="10"/>
      <c r="C326" s="10"/>
    </row>
    <row r="327" ht="15.75" customHeight="1">
      <c r="B327" s="10"/>
      <c r="C327" s="10"/>
    </row>
    <row r="328" ht="15.75" customHeight="1">
      <c r="B328" s="10"/>
      <c r="C328" s="10"/>
    </row>
    <row r="329" ht="15.75" customHeight="1">
      <c r="B329" s="10"/>
      <c r="C329" s="10"/>
    </row>
    <row r="330" ht="15.75" customHeight="1">
      <c r="B330" s="10"/>
      <c r="C330" s="10"/>
    </row>
    <row r="331" ht="15.75" customHeight="1">
      <c r="B331" s="10"/>
      <c r="C331" s="10"/>
    </row>
    <row r="332" ht="15.75" customHeight="1">
      <c r="B332" s="10"/>
      <c r="C332" s="10"/>
    </row>
    <row r="333" ht="15.75" customHeight="1">
      <c r="B333" s="10"/>
      <c r="C333" s="10"/>
    </row>
    <row r="334" ht="15.75" customHeight="1">
      <c r="B334" s="10"/>
      <c r="C334" s="10"/>
    </row>
    <row r="335" ht="15.75" customHeight="1">
      <c r="B335" s="10"/>
      <c r="C335" s="10"/>
    </row>
    <row r="336" ht="15.75" customHeight="1">
      <c r="B336" s="10"/>
      <c r="C336" s="10"/>
    </row>
    <row r="337" ht="15.75" customHeight="1">
      <c r="B337" s="10"/>
      <c r="C337" s="10"/>
    </row>
    <row r="338" ht="15.75" customHeight="1">
      <c r="B338" s="10"/>
      <c r="C338" s="10"/>
    </row>
    <row r="339" ht="15.75" customHeight="1">
      <c r="B339" s="10"/>
      <c r="C339" s="10"/>
    </row>
    <row r="340" ht="15.75" customHeight="1">
      <c r="B340" s="10"/>
      <c r="C340" s="10"/>
    </row>
    <row r="341" ht="15.75" customHeight="1">
      <c r="B341" s="10"/>
      <c r="C341" s="10"/>
    </row>
    <row r="342" ht="15.75" customHeight="1">
      <c r="B342" s="10"/>
      <c r="C342" s="10"/>
    </row>
    <row r="343" ht="15.75" customHeight="1">
      <c r="B343" s="10"/>
      <c r="C343" s="10"/>
    </row>
    <row r="344" ht="15.75" customHeight="1">
      <c r="B344" s="10"/>
      <c r="C344" s="10"/>
    </row>
    <row r="345" ht="15.75" customHeight="1">
      <c r="B345" s="10"/>
      <c r="C345" s="10"/>
    </row>
    <row r="346" ht="15.75" customHeight="1">
      <c r="B346" s="10"/>
      <c r="C346" s="10"/>
    </row>
    <row r="347" ht="15.75" customHeight="1">
      <c r="B347" s="10"/>
      <c r="C347" s="10"/>
    </row>
    <row r="348" ht="15.75" customHeight="1">
      <c r="B348" s="10"/>
      <c r="C348" s="10"/>
    </row>
    <row r="349" ht="15.75" customHeight="1">
      <c r="B349" s="10"/>
      <c r="C349" s="10"/>
    </row>
    <row r="350" ht="15.75" customHeight="1">
      <c r="B350" s="10"/>
      <c r="C350" s="10"/>
    </row>
    <row r="351" ht="15.75" customHeight="1">
      <c r="B351" s="10"/>
      <c r="C351" s="10"/>
    </row>
    <row r="352" ht="15.75" customHeight="1">
      <c r="B352" s="10"/>
      <c r="C352" s="10"/>
    </row>
    <row r="353" ht="15.75" customHeight="1">
      <c r="B353" s="10"/>
      <c r="C353" s="10"/>
    </row>
    <row r="354" ht="15.75" customHeight="1">
      <c r="B354" s="10"/>
      <c r="C354" s="10"/>
    </row>
    <row r="355" ht="15.75" customHeight="1">
      <c r="B355" s="10"/>
      <c r="C355" s="10"/>
    </row>
    <row r="356" ht="15.75" customHeight="1">
      <c r="B356" s="10"/>
      <c r="C356" s="10"/>
    </row>
    <row r="357" ht="15.75" customHeight="1">
      <c r="B357" s="10"/>
      <c r="C357" s="10"/>
    </row>
    <row r="358" ht="15.75" customHeight="1">
      <c r="B358" s="10"/>
      <c r="C358" s="10"/>
    </row>
    <row r="359" ht="15.75" customHeight="1">
      <c r="B359" s="10"/>
      <c r="C359" s="10"/>
    </row>
    <row r="360" ht="15.75" customHeight="1">
      <c r="B360" s="10"/>
      <c r="C360" s="10"/>
    </row>
    <row r="361" ht="15.75" customHeight="1">
      <c r="B361" s="10"/>
      <c r="C361" s="10"/>
    </row>
    <row r="362" ht="15.75" customHeight="1">
      <c r="B362" s="10"/>
      <c r="C362" s="10"/>
    </row>
    <row r="363" ht="15.75" customHeight="1">
      <c r="B363" s="10"/>
      <c r="C363" s="10"/>
    </row>
    <row r="364" ht="15.75" customHeight="1">
      <c r="B364" s="10"/>
      <c r="C364" s="10"/>
    </row>
    <row r="365" ht="15.75" customHeight="1">
      <c r="B365" s="10"/>
      <c r="C365" s="10"/>
    </row>
    <row r="366" ht="15.75" customHeight="1">
      <c r="B366" s="10"/>
      <c r="C366" s="10"/>
    </row>
    <row r="367" ht="15.75" customHeight="1">
      <c r="B367" s="10"/>
      <c r="C367" s="10"/>
    </row>
    <row r="368" ht="15.75" customHeight="1">
      <c r="B368" s="10"/>
      <c r="C368" s="10"/>
    </row>
    <row r="369" ht="15.75" customHeight="1">
      <c r="B369" s="10"/>
      <c r="C369" s="10"/>
    </row>
    <row r="370" ht="15.75" customHeight="1">
      <c r="B370" s="10"/>
      <c r="C370" s="10"/>
    </row>
    <row r="371" ht="15.75" customHeight="1">
      <c r="B371" s="10"/>
      <c r="C371" s="10"/>
    </row>
    <row r="372" ht="15.75" customHeight="1">
      <c r="B372" s="10"/>
      <c r="C372" s="10"/>
    </row>
    <row r="373" ht="15.75" customHeight="1">
      <c r="B373" s="10"/>
      <c r="C373" s="10"/>
    </row>
    <row r="374" ht="15.75" customHeight="1">
      <c r="B374" s="10"/>
      <c r="C374" s="10"/>
    </row>
    <row r="375" ht="15.75" customHeight="1">
      <c r="B375" s="10"/>
      <c r="C375" s="10"/>
    </row>
    <row r="376" ht="15.75" customHeight="1">
      <c r="B376" s="10"/>
      <c r="C376" s="10"/>
    </row>
    <row r="377" ht="15.75" customHeight="1">
      <c r="B377" s="10"/>
      <c r="C377" s="10"/>
    </row>
    <row r="378" ht="15.75" customHeight="1">
      <c r="B378" s="10"/>
      <c r="C378" s="10"/>
    </row>
    <row r="379" ht="15.75" customHeight="1">
      <c r="B379" s="10"/>
      <c r="C379" s="10"/>
    </row>
    <row r="380" ht="15.75" customHeight="1">
      <c r="B380" s="10"/>
      <c r="C380" s="10"/>
    </row>
    <row r="381" ht="15.75" customHeight="1">
      <c r="B381" s="10"/>
      <c r="C381" s="10"/>
    </row>
    <row r="382" ht="15.75" customHeight="1">
      <c r="B382" s="10"/>
      <c r="C382" s="10"/>
    </row>
    <row r="383" ht="15.75" customHeight="1">
      <c r="B383" s="10"/>
      <c r="C383" s="10"/>
    </row>
    <row r="384" ht="15.75" customHeight="1">
      <c r="B384" s="10"/>
      <c r="C384" s="10"/>
    </row>
    <row r="385" ht="15.75" customHeight="1">
      <c r="B385" s="10"/>
      <c r="C385" s="10"/>
    </row>
    <row r="386" ht="15.75" customHeight="1">
      <c r="B386" s="10"/>
      <c r="C386" s="10"/>
    </row>
    <row r="387" ht="15.75" customHeight="1">
      <c r="B387" s="10"/>
      <c r="C387" s="10"/>
    </row>
    <row r="388" ht="15.75" customHeight="1">
      <c r="B388" s="10"/>
      <c r="C388" s="10"/>
    </row>
    <row r="389" ht="15.75" customHeight="1">
      <c r="B389" s="10"/>
      <c r="C389" s="10"/>
    </row>
    <row r="390" ht="15.75" customHeight="1">
      <c r="B390" s="10"/>
      <c r="C390" s="10"/>
    </row>
    <row r="391" ht="15.75" customHeight="1">
      <c r="B391" s="10"/>
      <c r="C391" s="10"/>
    </row>
    <row r="392" ht="15.75" customHeight="1">
      <c r="B392" s="10"/>
      <c r="C392" s="10"/>
    </row>
    <row r="393" ht="15.75" customHeight="1">
      <c r="B393" s="10"/>
      <c r="C393" s="10"/>
    </row>
    <row r="394" ht="15.75" customHeight="1">
      <c r="B394" s="10"/>
      <c r="C394" s="10"/>
    </row>
    <row r="395" ht="15.75" customHeight="1">
      <c r="B395" s="10"/>
      <c r="C395" s="10"/>
    </row>
    <row r="396" ht="15.75" customHeight="1">
      <c r="B396" s="10"/>
      <c r="C396" s="10"/>
    </row>
    <row r="397" ht="15.75" customHeight="1">
      <c r="B397" s="10"/>
      <c r="C397" s="10"/>
    </row>
    <row r="398" ht="15.75" customHeight="1">
      <c r="B398" s="10"/>
      <c r="C398" s="10"/>
    </row>
    <row r="399" ht="15.75" customHeight="1">
      <c r="B399" s="10"/>
      <c r="C399" s="10"/>
    </row>
    <row r="400" ht="15.75" customHeight="1">
      <c r="B400" s="10"/>
      <c r="C400" s="10"/>
    </row>
    <row r="401" ht="15.75" customHeight="1">
      <c r="B401" s="10"/>
      <c r="C401" s="10"/>
    </row>
    <row r="402" ht="15.75" customHeight="1">
      <c r="B402" s="10"/>
      <c r="C402" s="10"/>
    </row>
    <row r="403" ht="15.75" customHeight="1">
      <c r="B403" s="10"/>
      <c r="C403" s="10"/>
    </row>
    <row r="404" ht="15.75" customHeight="1">
      <c r="B404" s="10"/>
      <c r="C404" s="10"/>
    </row>
    <row r="405" ht="15.75" customHeight="1">
      <c r="B405" s="10"/>
      <c r="C405" s="10"/>
    </row>
    <row r="406" ht="15.75" customHeight="1">
      <c r="B406" s="10"/>
      <c r="C406" s="10"/>
    </row>
    <row r="407" ht="15.75" customHeight="1">
      <c r="B407" s="10"/>
      <c r="C407" s="10"/>
    </row>
    <row r="408" ht="15.75" customHeight="1">
      <c r="B408" s="10"/>
      <c r="C408" s="10"/>
    </row>
    <row r="409" ht="15.75" customHeight="1">
      <c r="B409" s="10"/>
      <c r="C409" s="10"/>
    </row>
    <row r="410" ht="15.75" customHeight="1">
      <c r="B410" s="10"/>
      <c r="C410" s="10"/>
    </row>
    <row r="411" ht="15.75" customHeight="1">
      <c r="B411" s="10"/>
      <c r="C411" s="10"/>
    </row>
    <row r="412" ht="15.75" customHeight="1">
      <c r="B412" s="10"/>
      <c r="C412" s="10"/>
    </row>
    <row r="413" ht="15.75" customHeight="1">
      <c r="B413" s="10"/>
      <c r="C413" s="10"/>
    </row>
    <row r="414" ht="15.75" customHeight="1">
      <c r="B414" s="10"/>
      <c r="C414" s="10"/>
    </row>
    <row r="415" ht="15.75" customHeight="1">
      <c r="B415" s="10"/>
      <c r="C415" s="10"/>
    </row>
    <row r="416" ht="15.75" customHeight="1">
      <c r="B416" s="10"/>
      <c r="C416" s="10"/>
    </row>
    <row r="417" ht="15.75" customHeight="1">
      <c r="B417" s="10"/>
      <c r="C417" s="10"/>
    </row>
    <row r="418" ht="15.75" customHeight="1">
      <c r="B418" s="10"/>
      <c r="C418" s="10"/>
    </row>
    <row r="419" ht="15.75" customHeight="1">
      <c r="B419" s="10"/>
      <c r="C419" s="10"/>
    </row>
    <row r="420" ht="15.75" customHeight="1">
      <c r="B420" s="10"/>
      <c r="C420" s="10"/>
    </row>
    <row r="421" ht="15.75" customHeight="1">
      <c r="B421" s="10"/>
      <c r="C421" s="10"/>
    </row>
    <row r="422" ht="15.75" customHeight="1">
      <c r="B422" s="10"/>
      <c r="C422" s="10"/>
    </row>
    <row r="423" ht="15.75" customHeight="1">
      <c r="B423" s="10"/>
      <c r="C423" s="10"/>
    </row>
    <row r="424" ht="15.75" customHeight="1">
      <c r="B424" s="10"/>
      <c r="C424" s="10"/>
    </row>
    <row r="425" ht="15.75" customHeight="1">
      <c r="B425" s="10"/>
      <c r="C425" s="10"/>
    </row>
    <row r="426" ht="15.75" customHeight="1">
      <c r="B426" s="10"/>
      <c r="C426" s="10"/>
    </row>
    <row r="427" ht="15.75" customHeight="1">
      <c r="B427" s="10"/>
      <c r="C427" s="10"/>
    </row>
    <row r="428" ht="15.75" customHeight="1">
      <c r="B428" s="10"/>
      <c r="C428" s="10"/>
    </row>
    <row r="429" ht="15.75" customHeight="1">
      <c r="B429" s="10"/>
      <c r="C429" s="10"/>
    </row>
    <row r="430" ht="15.75" customHeight="1">
      <c r="B430" s="10"/>
      <c r="C430" s="10"/>
    </row>
    <row r="431" ht="15.75" customHeight="1">
      <c r="B431" s="10"/>
      <c r="C431" s="10"/>
    </row>
    <row r="432" ht="15.75" customHeight="1">
      <c r="B432" s="10"/>
      <c r="C432" s="10"/>
    </row>
    <row r="433" ht="15.75" customHeight="1">
      <c r="B433" s="10"/>
      <c r="C433" s="10"/>
    </row>
    <row r="434" ht="15.75" customHeight="1">
      <c r="B434" s="10"/>
      <c r="C434" s="10"/>
    </row>
    <row r="435" ht="15.75" customHeight="1">
      <c r="B435" s="10"/>
      <c r="C435" s="10"/>
    </row>
    <row r="436" ht="15.75" customHeight="1">
      <c r="B436" s="10"/>
      <c r="C436" s="10"/>
    </row>
    <row r="437" ht="15.75" customHeight="1">
      <c r="B437" s="10"/>
      <c r="C437" s="10"/>
    </row>
    <row r="438" ht="15.75" customHeight="1">
      <c r="B438" s="10"/>
      <c r="C438" s="10"/>
    </row>
    <row r="439" ht="15.75" customHeight="1">
      <c r="B439" s="10"/>
      <c r="C439" s="10"/>
    </row>
    <row r="440" ht="15.75" customHeight="1">
      <c r="B440" s="10"/>
      <c r="C440" s="10"/>
    </row>
    <row r="441" ht="15.75" customHeight="1">
      <c r="B441" s="10"/>
      <c r="C441" s="10"/>
    </row>
    <row r="442" ht="15.75" customHeight="1">
      <c r="B442" s="10"/>
      <c r="C442" s="10"/>
    </row>
    <row r="443" ht="15.75" customHeight="1">
      <c r="B443" s="10"/>
      <c r="C443" s="10"/>
    </row>
    <row r="444" ht="15.75" customHeight="1">
      <c r="B444" s="10"/>
      <c r="C444" s="10"/>
    </row>
    <row r="445" ht="15.75" customHeight="1">
      <c r="B445" s="10"/>
      <c r="C445" s="10"/>
    </row>
    <row r="446" ht="15.75" customHeight="1">
      <c r="B446" s="10"/>
      <c r="C446" s="10"/>
    </row>
    <row r="447" ht="15.75" customHeight="1">
      <c r="B447" s="10"/>
      <c r="C447" s="10"/>
    </row>
    <row r="448" ht="15.75" customHeight="1">
      <c r="B448" s="10"/>
      <c r="C448" s="10"/>
    </row>
    <row r="449" ht="15.75" customHeight="1">
      <c r="B449" s="10"/>
      <c r="C449" s="10"/>
    </row>
    <row r="450" ht="15.75" customHeight="1">
      <c r="B450" s="10"/>
      <c r="C450" s="10"/>
    </row>
    <row r="451" ht="15.75" customHeight="1">
      <c r="B451" s="10"/>
      <c r="C451" s="10"/>
    </row>
    <row r="452" ht="15.75" customHeight="1">
      <c r="B452" s="10"/>
      <c r="C452" s="10"/>
    </row>
    <row r="453" ht="15.75" customHeight="1">
      <c r="B453" s="10"/>
      <c r="C453" s="10"/>
    </row>
    <row r="454" ht="15.75" customHeight="1">
      <c r="B454" s="10"/>
      <c r="C454" s="10"/>
    </row>
    <row r="455" ht="15.75" customHeight="1">
      <c r="B455" s="10"/>
      <c r="C455" s="10"/>
    </row>
    <row r="456" ht="15.75" customHeight="1">
      <c r="B456" s="10"/>
      <c r="C456" s="10"/>
    </row>
    <row r="457" ht="15.75" customHeight="1">
      <c r="B457" s="10"/>
      <c r="C457" s="10"/>
    </row>
    <row r="458" ht="15.75" customHeight="1">
      <c r="B458" s="10"/>
      <c r="C458" s="10"/>
    </row>
    <row r="459" ht="15.75" customHeight="1">
      <c r="B459" s="10"/>
      <c r="C459" s="10"/>
    </row>
    <row r="460" ht="15.75" customHeight="1">
      <c r="B460" s="10"/>
      <c r="C460" s="10"/>
    </row>
    <row r="461" ht="15.75" customHeight="1">
      <c r="B461" s="10"/>
      <c r="C461" s="10"/>
    </row>
    <row r="462" ht="15.75" customHeight="1">
      <c r="B462" s="10"/>
      <c r="C462" s="10"/>
    </row>
    <row r="463" ht="15.75" customHeight="1">
      <c r="B463" s="10"/>
      <c r="C463" s="10"/>
    </row>
    <row r="464" ht="15.75" customHeight="1">
      <c r="B464" s="10"/>
      <c r="C464" s="10"/>
    </row>
    <row r="465" ht="15.75" customHeight="1">
      <c r="B465" s="10"/>
      <c r="C465" s="10"/>
    </row>
    <row r="466" ht="15.75" customHeight="1">
      <c r="B466" s="10"/>
      <c r="C466" s="10"/>
    </row>
    <row r="467" ht="15.75" customHeight="1">
      <c r="B467" s="10"/>
      <c r="C467" s="10"/>
    </row>
    <row r="468" ht="15.75" customHeight="1">
      <c r="B468" s="10"/>
      <c r="C468" s="10"/>
    </row>
    <row r="469" ht="15.75" customHeight="1">
      <c r="B469" s="10"/>
      <c r="C469" s="10"/>
    </row>
    <row r="470" ht="15.75" customHeight="1">
      <c r="B470" s="10"/>
      <c r="C470" s="10"/>
    </row>
    <row r="471" ht="15.75" customHeight="1">
      <c r="B471" s="10"/>
      <c r="C471" s="10"/>
    </row>
    <row r="472" ht="15.75" customHeight="1">
      <c r="B472" s="10"/>
      <c r="C472" s="10"/>
    </row>
    <row r="473" ht="15.75" customHeight="1">
      <c r="B473" s="10"/>
      <c r="C473" s="10"/>
    </row>
    <row r="474" ht="15.75" customHeight="1">
      <c r="B474" s="10"/>
      <c r="C474" s="10"/>
    </row>
    <row r="475" ht="15.75" customHeight="1">
      <c r="B475" s="10"/>
      <c r="C475" s="10"/>
    </row>
    <row r="476" ht="15.75" customHeight="1">
      <c r="B476" s="10"/>
      <c r="C476" s="10"/>
    </row>
    <row r="477" ht="15.75" customHeight="1">
      <c r="B477" s="10"/>
      <c r="C477" s="10"/>
    </row>
    <row r="478" ht="15.75" customHeight="1">
      <c r="B478" s="10"/>
      <c r="C478" s="10"/>
    </row>
    <row r="479" ht="15.75" customHeight="1">
      <c r="B479" s="10"/>
      <c r="C479" s="10"/>
    </row>
    <row r="480" ht="15.75" customHeight="1">
      <c r="B480" s="10"/>
      <c r="C480" s="10"/>
    </row>
    <row r="481" ht="15.75" customHeight="1">
      <c r="B481" s="10"/>
      <c r="C481" s="10"/>
    </row>
    <row r="482" ht="15.75" customHeight="1">
      <c r="B482" s="10"/>
      <c r="C482" s="10"/>
    </row>
    <row r="483" ht="15.75" customHeight="1">
      <c r="B483" s="10"/>
      <c r="C483" s="10"/>
    </row>
    <row r="484" ht="15.75" customHeight="1">
      <c r="B484" s="10"/>
      <c r="C484" s="10"/>
    </row>
    <row r="485" ht="15.75" customHeight="1">
      <c r="B485" s="10"/>
      <c r="C485" s="10"/>
    </row>
    <row r="486" ht="15.75" customHeight="1">
      <c r="B486" s="10"/>
      <c r="C486" s="10"/>
    </row>
    <row r="487" ht="15.75" customHeight="1">
      <c r="B487" s="10"/>
      <c r="C487" s="10"/>
    </row>
    <row r="488" ht="15.75" customHeight="1">
      <c r="B488" s="10"/>
      <c r="C488" s="10"/>
    </row>
    <row r="489" ht="15.75" customHeight="1">
      <c r="B489" s="10"/>
      <c r="C489" s="10"/>
    </row>
    <row r="490" ht="15.75" customHeight="1">
      <c r="B490" s="10"/>
      <c r="C490" s="10"/>
    </row>
    <row r="491" ht="15.75" customHeight="1">
      <c r="B491" s="10"/>
      <c r="C491" s="10"/>
    </row>
    <row r="492" ht="15.75" customHeight="1">
      <c r="B492" s="10"/>
      <c r="C492" s="10"/>
    </row>
    <row r="493" ht="15.75" customHeight="1">
      <c r="B493" s="10"/>
      <c r="C493" s="10"/>
    </row>
    <row r="494" ht="15.75" customHeight="1">
      <c r="B494" s="10"/>
      <c r="C494" s="10"/>
    </row>
    <row r="495" ht="15.75" customHeight="1">
      <c r="B495" s="10"/>
      <c r="C495" s="10"/>
    </row>
    <row r="496" ht="15.75" customHeight="1">
      <c r="B496" s="10"/>
      <c r="C496" s="10"/>
    </row>
    <row r="497" ht="15.75" customHeight="1">
      <c r="B497" s="10"/>
      <c r="C497" s="10"/>
    </row>
    <row r="498" ht="15.75" customHeight="1">
      <c r="B498" s="10"/>
      <c r="C498" s="10"/>
    </row>
    <row r="499" ht="15.75" customHeight="1">
      <c r="B499" s="10"/>
      <c r="C499" s="10"/>
    </row>
    <row r="500" ht="15.75" customHeight="1">
      <c r="B500" s="10"/>
      <c r="C500" s="10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500"/>
  <conditionalFormatting sqref="A2:R500">
    <cfRule type="expression" dxfId="6" priority="1" stopIfTrue="1">
      <formula>OR($K2="Complete",$K2="Dead")</formula>
    </cfRule>
  </conditionalFormatting>
  <conditionalFormatting sqref="N2:N500">
    <cfRule type="expression" dxfId="0" priority="2">
      <formula>AND(N2="Digitized",LEFT($H2,10)&lt;&gt;"Embroidery")</formula>
    </cfRule>
  </conditionalFormatting>
  <conditionalFormatting sqref="C2:C500">
    <cfRule type="expression" dxfId="0" priority="3">
      <formula>AND($K2="Active",C2&lt;&gt;"",C2&lt;TODAY())</formula>
    </cfRule>
  </conditionalFormatting>
  <conditionalFormatting sqref="C2:C500">
    <cfRule type="expression" dxfId="1" priority="4">
      <formula>AND($K2="Active",C2&lt;&gt;"",C2-TODAY()&lt;=3)</formula>
    </cfRule>
  </conditionalFormatting>
  <conditionalFormatting sqref="K2:Q500">
    <cfRule type="expression" dxfId="2" priority="5">
      <formula>OR(K2="Approved",K2="Received",K2="Digitized",K2="Finished",K2="Paid in Full",K2="Complete")</formula>
    </cfRule>
  </conditionalFormatting>
  <conditionalFormatting sqref="K2:Q500">
    <cfRule type="expression" dxfId="3" priority="6">
      <formula>OR(K2="Sent",K2="Ordered",K2="Sent to Customer",K2="Working",K2="Billed")</formula>
    </cfRule>
  </conditionalFormatting>
  <conditionalFormatting sqref="K2:Q500">
    <cfRule type="expression" dxfId="4" priority="7">
      <formula>OR(K2="Waiting",K2="Dead")</formula>
    </cfRule>
  </conditionalFormatting>
  <conditionalFormatting sqref="K2:Q500">
    <cfRule type="expression" dxfId="5" priority="8">
      <formula>OR(K2="In Queue",K2="Active",K2="Pick-Up",K2="Ship",K2="Courier")</formula>
    </cfRule>
  </conditionalFormatting>
  <dataValidations>
    <dataValidation type="date" operator="greaterThan" allowBlank="1" sqref="B2:C500">
      <formula1>1.0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9.0"/>
    <col customWidth="1" min="2" max="3" width="11.0"/>
    <col customWidth="1" min="4" max="4" width="24.0"/>
    <col customWidth="1" min="5" max="5" width="18.0"/>
    <col customWidth="1" min="6" max="6" width="14.0"/>
    <col customWidth="1" min="7" max="7" width="24.0"/>
    <col customWidth="1" min="8" max="8" width="22.0"/>
    <col customWidth="1" min="9" max="9" width="30.0"/>
    <col customWidth="1" min="10" max="10" width="7.0"/>
    <col customWidth="1" min="11" max="13" width="11.0"/>
    <col customWidth="1" min="14" max="14" width="17.0"/>
    <col customWidth="1" min="15" max="15" width="12.0"/>
    <col customWidth="1" min="16" max="16" width="11.0"/>
    <col customWidth="1" min="17" max="17" width="13.0"/>
    <col customWidth="1" min="18" max="18" width="34.0"/>
    <col customWidth="1" min="19" max="26" width="8.71"/>
  </cols>
  <sheetData>
    <row r="1">
      <c r="A1" s="2" t="s">
        <v>2</v>
      </c>
    </row>
    <row r="2">
      <c r="A2" s="1" t="s">
        <v>4</v>
      </c>
    </row>
    <row r="3" ht="30.0" customHeight="1">
      <c r="A3" s="4" t="s">
        <v>5</v>
      </c>
      <c r="B3" s="4" t="s">
        <v>14</v>
      </c>
      <c r="C3" s="4" t="s">
        <v>15</v>
      </c>
      <c r="D3" s="4" t="s">
        <v>17</v>
      </c>
      <c r="E3" s="4" t="s">
        <v>19</v>
      </c>
      <c r="F3" s="4" t="s">
        <v>21</v>
      </c>
      <c r="G3" s="4" t="s">
        <v>22</v>
      </c>
      <c r="H3" s="4" t="s">
        <v>3</v>
      </c>
      <c r="I3" s="4" t="s">
        <v>25</v>
      </c>
      <c r="J3" s="4" t="s">
        <v>27</v>
      </c>
      <c r="K3" s="4" t="s">
        <v>6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11</v>
      </c>
      <c r="Q3" s="4" t="s">
        <v>12</v>
      </c>
      <c r="R3" s="4" t="s">
        <v>37</v>
      </c>
    </row>
    <row r="4" ht="19.5" customHeight="1">
      <c r="A4" s="7">
        <f>IFERROR(__xludf.DUMMYFUNCTION("IFERROR(SORT(FILTER('Job Log'!A2:R500,('Job Log'!K2:K500=""Complete"")+('Job Log'!K2:K500=""Dead"")),3,FALSE),""No jobs here yet"")"),1003.0)</f>
        <v>1003</v>
      </c>
      <c r="B4" s="8">
        <f>IFERROR(__xludf.DUMMYFUNCTION("""COMPUTED_VALUE"""),46269.0)</f>
        <v>46269</v>
      </c>
      <c r="C4" s="8">
        <f>IFERROR(__xludf.DUMMYFUNCTION("""COMPUTED_VALUE"""),46277.0)</f>
        <v>46277</v>
      </c>
      <c r="D4" s="9" t="str">
        <f>IFERROR(__xludf.DUMMYFUNCTION("""COMPUTED_VALUE"""),"SAMPLE - Garfield Ave Dental")</f>
        <v>SAMPLE - Garfield Ave Dental</v>
      </c>
      <c r="E4" s="9" t="str">
        <f>IFERROR(__xludf.DUMMYFUNCTION("""COMPUTED_VALUE"""),"Amy Poe")</f>
        <v>Amy Poe</v>
      </c>
      <c r="F4" s="7" t="str">
        <f>IFERROR(__xludf.DUMMYFUNCTION("""COMPUTED_VALUE"""),"918-555-0102")</f>
        <v>918-555-0102</v>
      </c>
      <c r="G4" s="9" t="str">
        <f>IFERROR(__xludf.DUMMYFUNCTION("""COMPUTED_VALUE"""),"amy@example.com")</f>
        <v>amy@example.com</v>
      </c>
      <c r="H4" s="7" t="str">
        <f>IFERROR(__xludf.DUMMYFUNCTION("""COMPUTED_VALUE"""),"Vinyl - Signage")</f>
        <v>Vinyl - Signage</v>
      </c>
      <c r="I4" s="9" t="str">
        <f>IFERROR(__xludf.DUMMYFUNCTION("""COMPUTED_VALUE"""),"Window hours decal")</f>
        <v>Window hours decal</v>
      </c>
      <c r="J4" s="7">
        <f>IFERROR(__xludf.DUMMYFUNCTION("""COMPUTED_VALUE"""),1.0)</f>
        <v>1</v>
      </c>
      <c r="K4" s="7" t="str">
        <f>IFERROR(__xludf.DUMMYFUNCTION("""COMPUTED_VALUE"""),"Complete")</f>
        <v>Complete</v>
      </c>
      <c r="L4" s="7" t="str">
        <f>IFERROR(__xludf.DUMMYFUNCTION("""COMPUTED_VALUE"""),"Approved")</f>
        <v>Approved</v>
      </c>
      <c r="M4" s="7" t="str">
        <f>IFERROR(__xludf.DUMMYFUNCTION("""COMPUTED_VALUE"""),"Received")</f>
        <v>Received</v>
      </c>
      <c r="N4" s="7" t="str">
        <f>IFERROR(__xludf.DUMMYFUNCTION("""COMPUTED_VALUE"""),"Approved")</f>
        <v>Approved</v>
      </c>
      <c r="O4" s="7" t="str">
        <f>IFERROR(__xludf.DUMMYFUNCTION("""COMPUTED_VALUE"""),"Finished")</f>
        <v>Finished</v>
      </c>
      <c r="P4" s="7" t="str">
        <f>IFERROR(__xludf.DUMMYFUNCTION("""COMPUTED_VALUE"""),"Pick-Up")</f>
        <v>Pick-Up</v>
      </c>
      <c r="Q4" s="7" t="str">
        <f>IFERROR(__xludf.DUMMYFUNCTION("""COMPUTED_VALUE"""),"Paid in Full")</f>
        <v>Paid in Full</v>
      </c>
      <c r="R4" s="9" t="str">
        <f>IFERROR(__xludf.DUMMYFUNCTION("""COMPUTED_VALUE"""),"Complete example - shows on Closed tab")</f>
        <v>Complete example - shows on Closed tab</v>
      </c>
    </row>
    <row r="5" ht="19.5" customHeight="1">
      <c r="A5" s="7"/>
      <c r="B5" s="8"/>
      <c r="C5" s="8"/>
      <c r="D5" s="9"/>
      <c r="E5" s="9"/>
      <c r="F5" s="7"/>
      <c r="G5" s="9"/>
      <c r="H5" s="7"/>
      <c r="I5" s="9"/>
      <c r="J5" s="7"/>
      <c r="K5" s="7"/>
      <c r="L5" s="7"/>
      <c r="M5" s="7"/>
      <c r="N5" s="7"/>
      <c r="O5" s="7"/>
      <c r="P5" s="7"/>
      <c r="Q5" s="7"/>
      <c r="R5" s="9"/>
    </row>
    <row r="6" ht="19.5" customHeight="1">
      <c r="A6" s="7"/>
      <c r="B6" s="8"/>
      <c r="C6" s="8"/>
      <c r="D6" s="9"/>
      <c r="E6" s="9"/>
      <c r="F6" s="7"/>
      <c r="G6" s="9"/>
      <c r="H6" s="7"/>
      <c r="I6" s="9"/>
      <c r="J6" s="7"/>
      <c r="K6" s="7"/>
      <c r="L6" s="7"/>
      <c r="M6" s="7"/>
      <c r="N6" s="7"/>
      <c r="O6" s="7"/>
      <c r="P6" s="7"/>
      <c r="Q6" s="7"/>
      <c r="R6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4:C1000">
    <cfRule type="expression" dxfId="0" priority="1">
      <formula>AND($K4="Active",C4&lt;&gt;"",C4&lt;TODAY())</formula>
    </cfRule>
  </conditionalFormatting>
  <conditionalFormatting sqref="C4:C1000">
    <cfRule type="expression" dxfId="1" priority="2">
      <formula>AND($K4="Active",C4&lt;&gt;"",C4-TODAY()&lt;=3)</formula>
    </cfRule>
  </conditionalFormatting>
  <conditionalFormatting sqref="K4:Q1000">
    <cfRule type="expression" dxfId="2" priority="3">
      <formula>OR(K4="Approved",K4="Received",K4="Digitized",K4="Finished",K4="Paid in Full",K4="Complete")</formula>
    </cfRule>
  </conditionalFormatting>
  <conditionalFormatting sqref="K4:Q1000">
    <cfRule type="expression" dxfId="3" priority="4">
      <formula>OR(K4="Sent",K4="Ordered",K4="Sent to Customer",K4="Working",K4="Billed")</formula>
    </cfRule>
  </conditionalFormatting>
  <conditionalFormatting sqref="K4:Q1000">
    <cfRule type="expression" dxfId="4" priority="5">
      <formula>OR(K4="Waiting",K4="Dead")</formula>
    </cfRule>
  </conditionalFormatting>
  <conditionalFormatting sqref="K4:Q1000">
    <cfRule type="expression" dxfId="5" priority="6">
      <formula>OR(K4="In Queue",K4="Active",K4="Pick-Up",K4="Ship",K4="Courier")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24.0"/>
    <col customWidth="1" min="9" max="26" width="8.71"/>
  </cols>
  <sheetData>
    <row r="1">
      <c r="A1" s="1" t="s">
        <v>0</v>
      </c>
    </row>
    <row r="2">
      <c r="A2" s="3" t="s">
        <v>3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</row>
    <row r="3">
      <c r="A3" s="5" t="s">
        <v>13</v>
      </c>
      <c r="B3" s="5" t="s">
        <v>16</v>
      </c>
      <c r="C3" s="5" t="s">
        <v>18</v>
      </c>
      <c r="D3" s="5" t="s">
        <v>20</v>
      </c>
      <c r="E3" s="5" t="s">
        <v>23</v>
      </c>
      <c r="F3" s="5" t="s">
        <v>24</v>
      </c>
      <c r="G3" s="5" t="s">
        <v>26</v>
      </c>
      <c r="H3" s="5" t="s">
        <v>28</v>
      </c>
    </row>
    <row r="4">
      <c r="A4" s="5" t="s">
        <v>29</v>
      </c>
      <c r="B4" s="5" t="s">
        <v>30</v>
      </c>
      <c r="C4" s="5" t="s">
        <v>31</v>
      </c>
      <c r="D4" s="5" t="s">
        <v>32</v>
      </c>
      <c r="E4" s="5" t="s">
        <v>31</v>
      </c>
      <c r="F4" s="5" t="s">
        <v>33</v>
      </c>
      <c r="G4" s="5" t="s">
        <v>34</v>
      </c>
      <c r="H4" s="5" t="s">
        <v>35</v>
      </c>
    </row>
    <row r="5">
      <c r="A5" s="5" t="s">
        <v>36</v>
      </c>
      <c r="B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</row>
    <row r="6">
      <c r="A6" s="5" t="s">
        <v>43</v>
      </c>
    </row>
    <row r="7">
      <c r="A7" s="5" t="s">
        <v>44</v>
      </c>
    </row>
    <row r="8">
      <c r="A8" s="5" t="s">
        <v>45</v>
      </c>
    </row>
    <row r="9">
      <c r="A9" s="5" t="s">
        <v>46</v>
      </c>
    </row>
    <row r="10">
      <c r="A10" s="5" t="s">
        <v>47</v>
      </c>
    </row>
    <row r="11">
      <c r="A11" s="5" t="s">
        <v>48</v>
      </c>
    </row>
    <row r="12">
      <c r="A12" s="5" t="s">
        <v>49</v>
      </c>
    </row>
    <row r="13">
      <c r="A13" s="5" t="s">
        <v>50</v>
      </c>
    </row>
    <row r="14">
      <c r="A14" s="5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